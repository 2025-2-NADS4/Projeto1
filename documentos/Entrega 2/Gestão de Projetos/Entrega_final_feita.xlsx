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24026134\Downloads\"/>
    </mc:Choice>
  </mc:AlternateContent>
  <xr:revisionPtr revIDLastSave="0" documentId="13_ncr:1_{50908926-6518-4549-BA7A-59F52BCC5959}" xr6:coauthVersionLast="36" xr6:coauthVersionMax="36" xr10:uidLastSave="{00000000-0000-0000-0000-000000000000}"/>
  <bookViews>
    <workbookView xWindow="0" yWindow="0" windowWidth="20490" windowHeight="7545" tabRatio="854" firstSheet="12" activeTab="14" xr2:uid="{00000000-000D-0000-FFFF-FFFF00000000}"/>
  </bookViews>
  <sheets>
    <sheet name="Project Charter" sheetId="16" r:id="rId1"/>
    <sheet name="WBS-MACRO-ATIVIDADE" sheetId="14" r:id="rId2"/>
    <sheet name="WBS_Detalhado (ordem etapas)" sheetId="1" r:id="rId3"/>
    <sheet name="WBS_Detalhado (ordem depend)" sheetId="13" r:id="rId4"/>
    <sheet name="Análise do Stakeholder" sheetId="21" r:id="rId5"/>
    <sheet name="REDE PERT" sheetId="40" r:id="rId6"/>
    <sheet name="Gestão de Custo" sheetId="25" r:id="rId7"/>
    <sheet name="Orcado" sheetId="26" r:id="rId8"/>
    <sheet name="Realizado" sheetId="27" r:id="rId9"/>
    <sheet name="Gráfico -Status" sheetId="28" r:id="rId10"/>
    <sheet name="Param" sheetId="29" r:id="rId11"/>
    <sheet name="Capa" sheetId="30" r:id="rId12"/>
    <sheet name="Identificar" sheetId="31" r:id="rId13"/>
    <sheet name="Qualificar" sheetId="32" r:id="rId14"/>
    <sheet name="Quantificar" sheetId="33" r:id="rId15"/>
    <sheet name="Sensibilidade ao Risco" sheetId="41" r:id="rId16"/>
    <sheet name="Plano de Comunicação" sheetId="34" r:id="rId17"/>
    <sheet name="Planejamento de RH" sheetId="36" r:id="rId18"/>
    <sheet name="Organograma da Equipe" sheetId="37" r:id="rId19"/>
    <sheet name="Mapa Competência - Equipe" sheetId="38" r:id="rId20"/>
    <sheet name="Mapa de Responsabilidade" sheetId="39" r:id="rId21"/>
    <sheet name="Gráfico de Gantt" sheetId="18" state="hidden" r:id="rId22"/>
    <sheet name="PV_dependência" sheetId="17" state="hidden" r:id="rId23"/>
    <sheet name="Cronograma_de_Custos (2)" sheetId="6"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s>
  <definedNames>
    <definedName name="_xlnm._FilterDatabase" localSheetId="12" hidden="1">Identificar!$A$6:$J$17</definedName>
    <definedName name="_xlnm._FilterDatabase" localSheetId="20" hidden="1">'Mapa de Responsabilidade'!$B$5:$H$76</definedName>
    <definedName name="_xlnm._FilterDatabase" localSheetId="13" hidden="1">Qualificar!$A$6:$K$27</definedName>
    <definedName name="_xlnm._FilterDatabase" localSheetId="14" hidden="1">Quantificar!$A$6:$E$17</definedName>
    <definedName name="A" localSheetId="6" hidden="1">{"'TG'!$A$1:$L$37"}</definedName>
    <definedName name="A" localSheetId="9" hidden="1">{"'TG'!$A$1:$L$37"}</definedName>
    <definedName name="A" localSheetId="19" hidden="1">{"'TG'!$A$1:$L$37"}</definedName>
    <definedName name="A" localSheetId="20" hidden="1">{"'TG'!$A$1:$L$37"}</definedName>
    <definedName name="A" localSheetId="7" hidden="1">{"'TG'!$A$1:$L$37"}</definedName>
    <definedName name="A" localSheetId="18" hidden="1">{"'TG'!$A$1:$L$37"}</definedName>
    <definedName name="A" localSheetId="10" hidden="1">{"'TG'!$A$1:$L$37"}</definedName>
    <definedName name="A" localSheetId="17" hidden="1">{"'TG'!$A$1:$L$37"}</definedName>
    <definedName name="A" localSheetId="16" hidden="1">{"'TG'!$A$1:$L$37"}</definedName>
    <definedName name="A" localSheetId="8" hidden="1">{"'TG'!$A$1:$L$37"}</definedName>
    <definedName name="A" localSheetId="5" hidden="1">{"'TG'!$A$1:$L$37"}</definedName>
    <definedName name="A" hidden="1">{"'TG'!$A$1:$L$37"}</definedName>
    <definedName name="_xlnm.Print_Area" localSheetId="23">'Cronograma_de_Custos (2)'!$B$2:$X$18</definedName>
    <definedName name="_xlnm.Print_Area" localSheetId="12">Identificar!$A$1:$L$27</definedName>
    <definedName name="_xlnm.Print_Area" localSheetId="19">'Mapa Competência - Equipe'!$B$8:$X$19</definedName>
    <definedName name="_xlnm.Print_Area" localSheetId="20">'Mapa de Responsabilidade'!$B$2:$H$76</definedName>
    <definedName name="_xlnm.Print_Area" localSheetId="13">Qualificar!$A$1:$K$11</definedName>
    <definedName name="_xlnm.Print_Area" localSheetId="14">Quantificar!$A$1:$E$11</definedName>
    <definedName name="Comprar" localSheetId="19">[1]Param!#REF!</definedName>
    <definedName name="Comprar" localSheetId="20">[1]Param!#REF!</definedName>
    <definedName name="Comprar" localSheetId="18">[1]Param!#REF!</definedName>
    <definedName name="Comprar" localSheetId="17">[1]Param!#REF!</definedName>
    <definedName name="Comprar" localSheetId="5">[1]Param!#REF!</definedName>
    <definedName name="Comprar">[1]Param!#REF!</definedName>
    <definedName name="E"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21">[2]CronogramaDeProjeto!$E1</definedName>
    <definedName name="Início_do_projeto" localSheetId="6">'[3]Gráfico de Gantt'!$G$5</definedName>
    <definedName name="Início_do_projeto" localSheetId="9">'[3]Gráfico de Gantt'!$G$5</definedName>
    <definedName name="Início_do_projeto" localSheetId="19">'[4]Gráfico de Gantt'!$G$5</definedName>
    <definedName name="Início_do_projeto" localSheetId="20">'[4]Gráfico de Gantt'!$G$5</definedName>
    <definedName name="Início_do_projeto" localSheetId="7">'[3]Gráfico de Gantt'!$G$5</definedName>
    <definedName name="Início_do_projeto" localSheetId="18">'[4]Gráfico de Gantt'!$G$5</definedName>
    <definedName name="Início_do_projeto" localSheetId="10">'[3]Gráfico de Gantt'!$G$5</definedName>
    <definedName name="Início_do_projeto" localSheetId="17">'[4]Gráfico de Gantt'!$G$5</definedName>
    <definedName name="Início_do_projeto" localSheetId="16">'[5]Gráfico de Gantt'!$G$5</definedName>
    <definedName name="Início_do_projeto" localSheetId="8">'[3]Gráfico de Gantt'!$G$5</definedName>
    <definedName name="Início_do_projeto" localSheetId="5">'[6]Gráfico de Gantt'!$G$5</definedName>
    <definedName name="Início_do_projeto">'Gráfico de Gantt'!$G$5</definedName>
    <definedName name="Periodicidade">[7]Param!$AB$5:$AB$9</definedName>
    <definedName name="progresso_da_tarefa" localSheetId="21">[2]CronogramaDeProjeto!$D1</definedName>
    <definedName name="Semana_de_exibição" localSheetId="6">'[3]Gráfico de Gantt'!$G$6</definedName>
    <definedName name="Semana_de_exibição" localSheetId="9">'[3]Gráfico de Gantt'!$G$6</definedName>
    <definedName name="Semana_de_exibição" localSheetId="19">'[4]Gráfico de Gantt'!$G$6</definedName>
    <definedName name="Semana_de_exibição" localSheetId="20">'[4]Gráfico de Gantt'!$G$6</definedName>
    <definedName name="Semana_de_exibição" localSheetId="7">'[3]Gráfico de Gantt'!$G$6</definedName>
    <definedName name="Semana_de_exibição" localSheetId="18">'[4]Gráfico de Gantt'!$G$6</definedName>
    <definedName name="Semana_de_exibição" localSheetId="10">'[3]Gráfico de Gantt'!$G$6</definedName>
    <definedName name="Semana_de_exibição" localSheetId="17">'[4]Gráfico de Gantt'!$G$6</definedName>
    <definedName name="Semana_de_exibição" localSheetId="16">'[5]Gráfico de Gantt'!$G$6</definedName>
    <definedName name="Semana_de_exibição" localSheetId="8">'[3]Gráfico de Gantt'!$G$6</definedName>
    <definedName name="Semana_de_exibição" localSheetId="5">'[6]Gráfico de Gantt'!$G$6</definedName>
    <definedName name="Semana_de_exibição">'Gráfico de Gantt'!$G$6</definedName>
    <definedName name="Status">[1]Param!#REF!</definedName>
    <definedName name="t" localSheetId="6" hidden="1">{"'TG'!$A$1:$L$37"}</definedName>
    <definedName name="t" localSheetId="9" hidden="1">{"'TG'!$A$1:$L$37"}</definedName>
    <definedName name="t" localSheetId="19" hidden="1">{"'TG'!$A$1:$L$37"}</definedName>
    <definedName name="t" localSheetId="20" hidden="1">{"'TG'!$A$1:$L$37"}</definedName>
    <definedName name="t" localSheetId="7" hidden="1">{"'TG'!$A$1:$L$37"}</definedName>
    <definedName name="t" localSheetId="18" hidden="1">{"'TG'!$A$1:$L$37"}</definedName>
    <definedName name="t" localSheetId="10" hidden="1">{"'TG'!$A$1:$L$37"}</definedName>
    <definedName name="t" localSheetId="17" hidden="1">{"'TG'!$A$1:$L$37"}</definedName>
    <definedName name="t" localSheetId="16" hidden="1">{"'TG'!$A$1:$L$37"}</definedName>
    <definedName name="t" localSheetId="8" hidden="1">{"'TG'!$A$1:$L$37"}</definedName>
    <definedName name="t" localSheetId="5" hidden="1">{"'TG'!$A$1:$L$37"}</definedName>
    <definedName name="t" hidden="1">{"'TG'!$A$1:$L$37"}</definedName>
    <definedName name="término_da_tarefa" localSheetId="21">[2]CronogramaDeProjeto!$F1</definedName>
    <definedName name="VersaoExcel">[7]Param!$D$15:$E$15</definedName>
    <definedName name="VersaoSR">[7]Param!$C$24:$C$26</definedName>
  </definedNames>
  <calcPr calcId="191029"/>
  <pivotCaches>
    <pivotCache cacheId="0" r:id="rId33"/>
  </pivotCaches>
</workbook>
</file>

<file path=xl/calcChain.xml><?xml version="1.0" encoding="utf-8"?>
<calcChain xmlns="http://schemas.openxmlformats.org/spreadsheetml/2006/main">
  <c r="M8" i="32" l="1"/>
  <c r="E2" i="41"/>
  <c r="E3" i="41"/>
  <c r="E4" i="41"/>
  <c r="E5" i="41"/>
  <c r="E6" i="41"/>
  <c r="E8" i="41"/>
  <c r="E9" i="41"/>
  <c r="E10" i="41"/>
  <c r="E11" i="41"/>
  <c r="E12" i="41"/>
  <c r="E14" i="41"/>
  <c r="E15" i="41"/>
  <c r="E16" i="41"/>
  <c r="E17" i="41"/>
  <c r="E18" i="41"/>
  <c r="E20" i="41"/>
  <c r="E21" i="41"/>
  <c r="E22" i="41"/>
  <c r="E23" i="41"/>
  <c r="E24" i="41"/>
  <c r="E26" i="41"/>
  <c r="E27" i="41"/>
  <c r="E28" i="41"/>
  <c r="E29" i="41"/>
  <c r="E30" i="41"/>
  <c r="A4" i="33" l="1"/>
  <c r="A8" i="33"/>
  <c r="B8" i="33"/>
  <c r="C8" i="33"/>
  <c r="D8" i="33"/>
  <c r="J8" i="33"/>
  <c r="K8" i="33"/>
  <c r="A9" i="33"/>
  <c r="B9" i="33"/>
  <c r="C9" i="33"/>
  <c r="D9" i="33"/>
  <c r="J9" i="33"/>
  <c r="K9" i="33"/>
  <c r="A10" i="33"/>
  <c r="B10" i="33"/>
  <c r="C10" i="33"/>
  <c r="D10" i="33"/>
  <c r="J10" i="33"/>
  <c r="K10" i="33"/>
  <c r="A11" i="33"/>
  <c r="B11" i="33"/>
  <c r="C11" i="33"/>
  <c r="D11" i="33"/>
  <c r="J11" i="33"/>
  <c r="K11" i="33"/>
  <c r="A12" i="33"/>
  <c r="B12" i="33"/>
  <c r="C12" i="33"/>
  <c r="D12" i="33"/>
  <c r="J12" i="33"/>
  <c r="K12" i="33"/>
  <c r="A13" i="33"/>
  <c r="B13" i="33"/>
  <c r="C13" i="33"/>
  <c r="D13" i="33"/>
  <c r="J13" i="33"/>
  <c r="K13" i="33"/>
  <c r="A14" i="33"/>
  <c r="B14" i="33"/>
  <c r="C14" i="33"/>
  <c r="D14" i="33"/>
  <c r="J14" i="33"/>
  <c r="K14" i="33"/>
  <c r="A15" i="33"/>
  <c r="B15" i="33"/>
  <c r="C15" i="33"/>
  <c r="D15" i="33"/>
  <c r="J15" i="33"/>
  <c r="K15" i="33"/>
  <c r="A16" i="33"/>
  <c r="B16" i="33"/>
  <c r="C16" i="33"/>
  <c r="D16" i="33"/>
  <c r="J16" i="33"/>
  <c r="K16" i="33"/>
  <c r="A17" i="33"/>
  <c r="B17" i="33"/>
  <c r="C17" i="33"/>
  <c r="D17" i="33"/>
  <c r="J17" i="33"/>
  <c r="K17" i="33"/>
  <c r="A18" i="33"/>
  <c r="B18" i="33"/>
  <c r="C18" i="33"/>
  <c r="D18" i="33"/>
  <c r="E18" i="33"/>
  <c r="A19" i="33"/>
  <c r="B19" i="33"/>
  <c r="C19" i="33"/>
  <c r="D19" i="33"/>
  <c r="E19" i="33"/>
  <c r="A20" i="33"/>
  <c r="B20" i="33"/>
  <c r="C20" i="33"/>
  <c r="D20" i="33"/>
  <c r="E20" i="33"/>
  <c r="A21" i="33"/>
  <c r="B21" i="33"/>
  <c r="C21" i="33"/>
  <c r="D21" i="33"/>
  <c r="E21" i="33"/>
  <c r="A22" i="33"/>
  <c r="B22" i="33"/>
  <c r="C22" i="33"/>
  <c r="D22" i="33"/>
  <c r="E22" i="33"/>
  <c r="A23" i="33"/>
  <c r="B23" i="33"/>
  <c r="C23" i="33"/>
  <c r="D23" i="33"/>
  <c r="E23" i="33"/>
  <c r="A24" i="33"/>
  <c r="B24" i="33"/>
  <c r="C24" i="33"/>
  <c r="D24" i="33"/>
  <c r="E24" i="33"/>
  <c r="A25" i="33"/>
  <c r="B25" i="33"/>
  <c r="C25" i="33"/>
  <c r="D25" i="33"/>
  <c r="E25" i="33"/>
  <c r="A26" i="33"/>
  <c r="B26" i="33"/>
  <c r="C26" i="33"/>
  <c r="D26" i="33"/>
  <c r="E26" i="33"/>
  <c r="A27" i="33"/>
  <c r="B27" i="33"/>
  <c r="C27" i="33"/>
  <c r="D27" i="33"/>
  <c r="E27" i="33"/>
  <c r="A28" i="33"/>
  <c r="B28" i="33"/>
  <c r="C28" i="33"/>
  <c r="D28" i="33"/>
  <c r="E28" i="33"/>
  <c r="A29" i="33"/>
  <c r="B29" i="33"/>
  <c r="C29" i="33"/>
  <c r="D29" i="33"/>
  <c r="E29" i="33"/>
  <c r="A4" i="32"/>
  <c r="A8" i="32"/>
  <c r="B8" i="32"/>
  <c r="C8" i="32"/>
  <c r="D8" i="32"/>
  <c r="E8" i="32"/>
  <c r="I8" i="32"/>
  <c r="J8" i="32" s="1"/>
  <c r="K8" i="32" s="1"/>
  <c r="L8" i="31" s="1"/>
  <c r="N8" i="32"/>
  <c r="A9" i="32"/>
  <c r="B9" i="32"/>
  <c r="C9" i="32"/>
  <c r="D9" i="32"/>
  <c r="E9" i="32"/>
  <c r="I9" i="32"/>
  <c r="J9" i="32" s="1"/>
  <c r="K9" i="32" s="1"/>
  <c r="L9" i="31" s="1"/>
  <c r="M9" i="32"/>
  <c r="N9" i="32"/>
  <c r="A10" i="32"/>
  <c r="B10" i="32"/>
  <c r="C10" i="32"/>
  <c r="D10" i="32"/>
  <c r="E10" i="32"/>
  <c r="I10" i="32"/>
  <c r="J10" i="32" s="1"/>
  <c r="K10" i="32" s="1"/>
  <c r="L10" i="31" s="1"/>
  <c r="M10" i="32"/>
  <c r="N10" i="32"/>
  <c r="A11" i="32"/>
  <c r="B11" i="32"/>
  <c r="C11" i="32"/>
  <c r="D11" i="32"/>
  <c r="E11" i="32"/>
  <c r="I11" i="32"/>
  <c r="J11" i="32"/>
  <c r="K11" i="32"/>
  <c r="L11" i="31" s="1"/>
  <c r="M11" i="32"/>
  <c r="N11" i="32"/>
  <c r="A12" i="32"/>
  <c r="B12" i="32"/>
  <c r="C12" i="32"/>
  <c r="D12" i="32"/>
  <c r="E12" i="32"/>
  <c r="I12" i="32"/>
  <c r="J12" i="32" s="1"/>
  <c r="K12" i="32" s="1"/>
  <c r="L12" i="31" s="1"/>
  <c r="M12" i="32"/>
  <c r="N12" i="32"/>
  <c r="A13" i="32"/>
  <c r="B13" i="32"/>
  <c r="C13" i="32"/>
  <c r="D13" i="32"/>
  <c r="E13" i="32"/>
  <c r="I13" i="32"/>
  <c r="J13" i="32"/>
  <c r="K13" i="32"/>
  <c r="L13" i="31" s="1"/>
  <c r="M13" i="32"/>
  <c r="N13" i="32"/>
  <c r="A14" i="32"/>
  <c r="B14" i="32"/>
  <c r="C14" i="32"/>
  <c r="D14" i="32"/>
  <c r="E14" i="32"/>
  <c r="I14" i="32"/>
  <c r="J14" i="32" s="1"/>
  <c r="K14" i="32" s="1"/>
  <c r="L14" i="31" s="1"/>
  <c r="M14" i="32"/>
  <c r="N14" i="32"/>
  <c r="A15" i="32"/>
  <c r="B15" i="32"/>
  <c r="C15" i="32"/>
  <c r="D15" i="32"/>
  <c r="E15" i="32"/>
  <c r="I15" i="32"/>
  <c r="J15" i="32"/>
  <c r="K15" i="32"/>
  <c r="L15" i="31" s="1"/>
  <c r="M15" i="32"/>
  <c r="N15" i="32"/>
  <c r="A16" i="32"/>
  <c r="B16" i="32"/>
  <c r="C16" i="32"/>
  <c r="D16" i="32"/>
  <c r="E16" i="32"/>
  <c r="I16" i="32"/>
  <c r="J16" i="32" s="1"/>
  <c r="K16" i="32" s="1"/>
  <c r="M16" i="32"/>
  <c r="N16" i="32"/>
  <c r="A17" i="32"/>
  <c r="B17" i="32"/>
  <c r="C17" i="32"/>
  <c r="D17" i="32"/>
  <c r="E17" i="32"/>
  <c r="I17" i="32"/>
  <c r="J17" i="32"/>
  <c r="K17" i="32"/>
  <c r="M17" i="32"/>
  <c r="N17" i="32"/>
  <c r="A18" i="32"/>
  <c r="B18" i="32"/>
  <c r="C18" i="32"/>
  <c r="D18" i="32"/>
  <c r="E18" i="32"/>
  <c r="I18" i="32"/>
  <c r="J18" i="32" s="1"/>
  <c r="K18" i="32"/>
  <c r="M18" i="32"/>
  <c r="N18" i="32"/>
  <c r="A19" i="32"/>
  <c r="B19" i="32"/>
  <c r="C19" i="32"/>
  <c r="D19" i="32"/>
  <c r="E19" i="32"/>
  <c r="I19" i="32"/>
  <c r="J19" i="32"/>
  <c r="K19" i="32"/>
  <c r="M19" i="32"/>
  <c r="N19" i="32"/>
  <c r="A20" i="32"/>
  <c r="B20" i="32"/>
  <c r="C20" i="32"/>
  <c r="D20" i="32"/>
  <c r="E20" i="32"/>
  <c r="I20" i="32"/>
  <c r="J20" i="32" s="1"/>
  <c r="K20" i="32"/>
  <c r="M20" i="32"/>
  <c r="N20" i="32"/>
  <c r="A21" i="32"/>
  <c r="B21" i="32"/>
  <c r="C21" i="32"/>
  <c r="D21" i="32"/>
  <c r="E21" i="32"/>
  <c r="I21" i="32"/>
  <c r="J21" i="32"/>
  <c r="K21" i="32"/>
  <c r="M21" i="32"/>
  <c r="N21" i="32"/>
  <c r="A22" i="32"/>
  <c r="B22" i="32"/>
  <c r="C22" i="32"/>
  <c r="D22" i="32"/>
  <c r="E22" i="32"/>
  <c r="I22" i="32"/>
  <c r="J22" i="32" s="1"/>
  <c r="K22" i="32"/>
  <c r="M22" i="32"/>
  <c r="N22" i="32"/>
  <c r="A23" i="32"/>
  <c r="B23" i="32"/>
  <c r="C23" i="32"/>
  <c r="D23" i="32"/>
  <c r="E23" i="32"/>
  <c r="I23" i="32"/>
  <c r="J23" i="32"/>
  <c r="K23" i="32"/>
  <c r="M23" i="32"/>
  <c r="N23" i="32"/>
  <c r="A24" i="32"/>
  <c r="B24" i="32"/>
  <c r="C24" i="32"/>
  <c r="D24" i="32"/>
  <c r="E24" i="32"/>
  <c r="I24" i="32"/>
  <c r="J24" i="32" s="1"/>
  <c r="K24" i="32"/>
  <c r="M24" i="32"/>
  <c r="N24" i="32"/>
  <c r="A25" i="32"/>
  <c r="B25" i="32"/>
  <c r="C25" i="32"/>
  <c r="D25" i="32"/>
  <c r="E25" i="32"/>
  <c r="I25" i="32"/>
  <c r="J25" i="32"/>
  <c r="K25" i="32"/>
  <c r="M25" i="32"/>
  <c r="N25" i="32"/>
  <c r="A26" i="32"/>
  <c r="B26" i="32"/>
  <c r="C26" i="32"/>
  <c r="D26" i="32"/>
  <c r="E26" i="32"/>
  <c r="I26" i="32"/>
  <c r="J26" i="32" s="1"/>
  <c r="K26" i="32"/>
  <c r="M26" i="32"/>
  <c r="N26" i="32"/>
  <c r="A27" i="32"/>
  <c r="B27" i="32"/>
  <c r="C27" i="32"/>
  <c r="D27" i="32"/>
  <c r="E27" i="32"/>
  <c r="I27" i="32"/>
  <c r="J27" i="32"/>
  <c r="K27" i="32"/>
  <c r="L27" i="31" s="1"/>
  <c r="M27" i="32"/>
  <c r="N27" i="32"/>
  <c r="A4" i="31"/>
  <c r="L26" i="31"/>
  <c r="C4" i="28"/>
  <c r="E4" i="28" s="1"/>
  <c r="D4" i="28"/>
  <c r="F4" i="28"/>
  <c r="G4" i="28" s="1"/>
  <c r="B5" i="28"/>
  <c r="C5" i="28"/>
  <c r="D5" i="28"/>
  <c r="F5" i="28"/>
  <c r="B6" i="28"/>
  <c r="C6" i="28"/>
  <c r="D6" i="28"/>
  <c r="F6" i="28"/>
  <c r="B7" i="28"/>
  <c r="C7" i="28" s="1"/>
  <c r="B8" i="28"/>
  <c r="C8" i="28"/>
  <c r="D8" i="28"/>
  <c r="B9" i="28"/>
  <c r="B10" i="28" s="1"/>
  <c r="C9" i="28"/>
  <c r="D9" i="28"/>
  <c r="B2" i="27"/>
  <c r="C3" i="27"/>
  <c r="C4" i="27"/>
  <c r="F4" i="27"/>
  <c r="G4" i="27"/>
  <c r="H4" i="27"/>
  <c r="I4" i="27"/>
  <c r="J4" i="27"/>
  <c r="K4" i="27" s="1"/>
  <c r="L4" i="27" s="1"/>
  <c r="M4" i="27" s="1"/>
  <c r="N4" i="27" s="1"/>
  <c r="O4" i="27" s="1"/>
  <c r="P4" i="27" s="1"/>
  <c r="D5" i="27"/>
  <c r="D6" i="27" s="1"/>
  <c r="E5" i="27"/>
  <c r="B9" i="27"/>
  <c r="F9" i="27"/>
  <c r="F5" i="27" s="1"/>
  <c r="G9" i="27"/>
  <c r="H9" i="27"/>
  <c r="I9" i="27"/>
  <c r="J9" i="27"/>
  <c r="K9" i="27"/>
  <c r="L9" i="27" s="1"/>
  <c r="B11" i="27"/>
  <c r="F11" i="27"/>
  <c r="G11" i="27"/>
  <c r="H11" i="27"/>
  <c r="I11" i="27"/>
  <c r="J11" i="27"/>
  <c r="K11" i="27"/>
  <c r="L11" i="27"/>
  <c r="M11" i="27"/>
  <c r="N11" i="27"/>
  <c r="O11" i="27"/>
  <c r="P11" i="27"/>
  <c r="Q11" i="27"/>
  <c r="G12" i="27"/>
  <c r="H12" i="27" s="1"/>
  <c r="I12" i="27" s="1"/>
  <c r="J12" i="27" s="1"/>
  <c r="K12" i="27" s="1"/>
  <c r="L12" i="27" s="1"/>
  <c r="M12" i="27" s="1"/>
  <c r="N12" i="27" s="1"/>
  <c r="O12" i="27" s="1"/>
  <c r="P12" i="27" s="1"/>
  <c r="B13" i="27"/>
  <c r="F13" i="27"/>
  <c r="G14" i="27"/>
  <c r="H14" i="27"/>
  <c r="I14" i="27" s="1"/>
  <c r="B15" i="27"/>
  <c r="F15" i="27"/>
  <c r="G15" i="27"/>
  <c r="H15" i="27"/>
  <c r="G16" i="27"/>
  <c r="H16" i="27"/>
  <c r="I16" i="27" s="1"/>
  <c r="B17" i="27"/>
  <c r="F17" i="27"/>
  <c r="G17" i="27"/>
  <c r="H17" i="27"/>
  <c r="G18" i="27"/>
  <c r="H18" i="27"/>
  <c r="I18" i="27"/>
  <c r="J18" i="27"/>
  <c r="K18" i="27"/>
  <c r="L18" i="27"/>
  <c r="M18" i="27"/>
  <c r="N18" i="27"/>
  <c r="O18" i="27"/>
  <c r="P18" i="27"/>
  <c r="B19" i="27"/>
  <c r="F19" i="27"/>
  <c r="G19" i="27" s="1"/>
  <c r="H19" i="27" s="1"/>
  <c r="I19" i="27" s="1"/>
  <c r="J19" i="27" s="1"/>
  <c r="K19" i="27" s="1"/>
  <c r="L19" i="27" s="1"/>
  <c r="M19" i="27" s="1"/>
  <c r="N19" i="27" s="1"/>
  <c r="O19" i="27" s="1"/>
  <c r="P19" i="27" s="1"/>
  <c r="G20" i="27"/>
  <c r="H20" i="27"/>
  <c r="I20" i="27"/>
  <c r="J20" i="27"/>
  <c r="K20" i="27"/>
  <c r="L20" i="27"/>
  <c r="M20" i="27"/>
  <c r="N20" i="27"/>
  <c r="O20" i="27"/>
  <c r="P20" i="27" s="1"/>
  <c r="B21" i="27"/>
  <c r="F21" i="27"/>
  <c r="G21" i="27" s="1"/>
  <c r="G22" i="27"/>
  <c r="G23" i="27" s="1"/>
  <c r="H22" i="27"/>
  <c r="I22" i="27"/>
  <c r="J22" i="27"/>
  <c r="K22" i="27"/>
  <c r="L22" i="27"/>
  <c r="M22" i="27" s="1"/>
  <c r="N22" i="27" s="1"/>
  <c r="O22" i="27" s="1"/>
  <c r="P22" i="27" s="1"/>
  <c r="B23" i="27"/>
  <c r="F23" i="27"/>
  <c r="G24" i="27"/>
  <c r="G25" i="27" s="1"/>
  <c r="H24" i="27"/>
  <c r="I24" i="27"/>
  <c r="J24" i="27" s="1"/>
  <c r="K24" i="27" s="1"/>
  <c r="L24" i="27" s="1"/>
  <c r="M24" i="27" s="1"/>
  <c r="N24" i="27" s="1"/>
  <c r="O24" i="27" s="1"/>
  <c r="P24" i="27" s="1"/>
  <c r="B25" i="27"/>
  <c r="F25" i="27"/>
  <c r="G26" i="27"/>
  <c r="H26" i="27"/>
  <c r="I26" i="27" s="1"/>
  <c r="B27" i="27"/>
  <c r="F27" i="27"/>
  <c r="G27" i="27"/>
  <c r="H27" i="27"/>
  <c r="G28" i="27"/>
  <c r="H28" i="27"/>
  <c r="I28" i="27" s="1"/>
  <c r="B29" i="27"/>
  <c r="F29" i="27"/>
  <c r="G29" i="27"/>
  <c r="H29" i="27"/>
  <c r="B39" i="27"/>
  <c r="F39" i="27"/>
  <c r="G39" i="27"/>
  <c r="H39" i="27"/>
  <c r="I39" i="27"/>
  <c r="J39" i="27"/>
  <c r="K39" i="27"/>
  <c r="L39" i="27"/>
  <c r="M39" i="27"/>
  <c r="N39" i="27"/>
  <c r="O39" i="27"/>
  <c r="P39" i="27"/>
  <c r="Q39" i="27"/>
  <c r="B40" i="27"/>
  <c r="F40" i="27"/>
  <c r="G40" i="27"/>
  <c r="H40" i="27" s="1"/>
  <c r="B41" i="27"/>
  <c r="F41" i="27"/>
  <c r="G41" i="27"/>
  <c r="H41" i="27"/>
  <c r="I41" i="27"/>
  <c r="J41" i="27"/>
  <c r="K41" i="27"/>
  <c r="L41" i="27"/>
  <c r="M41" i="27" s="1"/>
  <c r="N41" i="27" s="1"/>
  <c r="O41" i="27" s="1"/>
  <c r="P41" i="27" s="1"/>
  <c r="B42" i="27"/>
  <c r="F42" i="27"/>
  <c r="G42" i="27"/>
  <c r="H42" i="27"/>
  <c r="I42" i="27"/>
  <c r="J42" i="27"/>
  <c r="K42" i="27"/>
  <c r="L42" i="27"/>
  <c r="M42" i="27"/>
  <c r="N42" i="27"/>
  <c r="O42" i="27"/>
  <c r="P42" i="27"/>
  <c r="Q42" i="27"/>
  <c r="B43" i="27"/>
  <c r="F43" i="27"/>
  <c r="G43" i="27" s="1"/>
  <c r="H43" i="27" s="1"/>
  <c r="I43" i="27" s="1"/>
  <c r="J43" i="27" s="1"/>
  <c r="K43" i="27" s="1"/>
  <c r="L43" i="27" s="1"/>
  <c r="M43" i="27" s="1"/>
  <c r="N43" i="27" s="1"/>
  <c r="O43" i="27" s="1"/>
  <c r="P43" i="27" s="1"/>
  <c r="B44" i="27"/>
  <c r="F44" i="27"/>
  <c r="G44" i="27"/>
  <c r="H44" i="27"/>
  <c r="I44" i="27"/>
  <c r="J44" i="27"/>
  <c r="K44" i="27"/>
  <c r="L44" i="27"/>
  <c r="M44" i="27"/>
  <c r="N44" i="27" s="1"/>
  <c r="O44" i="27" s="1"/>
  <c r="P44" i="27" s="1"/>
  <c r="B45" i="27"/>
  <c r="F45" i="27"/>
  <c r="G45" i="27" s="1"/>
  <c r="B46" i="27"/>
  <c r="F46" i="27"/>
  <c r="G46" i="27"/>
  <c r="H46" i="27" s="1"/>
  <c r="I46" i="27" s="1"/>
  <c r="J46" i="27" s="1"/>
  <c r="K46" i="27" s="1"/>
  <c r="L46" i="27" s="1"/>
  <c r="M46" i="27" s="1"/>
  <c r="N46" i="27" s="1"/>
  <c r="O46" i="27" s="1"/>
  <c r="P46" i="27" s="1"/>
  <c r="B47" i="27"/>
  <c r="F47" i="27"/>
  <c r="Q47" i="27" s="1"/>
  <c r="G47" i="27"/>
  <c r="H47" i="27"/>
  <c r="I47" i="27"/>
  <c r="J47" i="27"/>
  <c r="K47" i="27"/>
  <c r="L47" i="27"/>
  <c r="M47" i="27"/>
  <c r="N47" i="27"/>
  <c r="O47" i="27" s="1"/>
  <c r="P47" i="27" s="1"/>
  <c r="B48" i="27"/>
  <c r="F48" i="27"/>
  <c r="G48" i="27" s="1"/>
  <c r="B49" i="27"/>
  <c r="F49" i="27"/>
  <c r="G49" i="27"/>
  <c r="H49" i="27"/>
  <c r="I49" i="27" s="1"/>
  <c r="J49" i="27" s="1"/>
  <c r="K49" i="27" s="1"/>
  <c r="L49" i="27" s="1"/>
  <c r="M49" i="27" s="1"/>
  <c r="N49" i="27" s="1"/>
  <c r="O49" i="27" s="1"/>
  <c r="P49" i="27" s="1"/>
  <c r="B50" i="27"/>
  <c r="F50" i="27"/>
  <c r="Q50" i="27" s="1"/>
  <c r="G50" i="27"/>
  <c r="H50" i="27"/>
  <c r="I50" i="27"/>
  <c r="J50" i="27"/>
  <c r="K50" i="27"/>
  <c r="L50" i="27"/>
  <c r="M50" i="27"/>
  <c r="N50" i="27"/>
  <c r="O50" i="27"/>
  <c r="P50" i="27" s="1"/>
  <c r="B51" i="27"/>
  <c r="F51" i="27"/>
  <c r="G51" i="27"/>
  <c r="H51" i="27" s="1"/>
  <c r="B52" i="27"/>
  <c r="F52" i="27"/>
  <c r="G52" i="27"/>
  <c r="H52" i="27"/>
  <c r="I52" i="27"/>
  <c r="J52" i="27" s="1"/>
  <c r="K52" i="27" s="1"/>
  <c r="L52" i="27" s="1"/>
  <c r="M52" i="27" s="1"/>
  <c r="N52" i="27" s="1"/>
  <c r="O52" i="27" s="1"/>
  <c r="P52" i="27" s="1"/>
  <c r="C3" i="26"/>
  <c r="E3" i="26"/>
  <c r="F3" i="26" s="1"/>
  <c r="G3" i="26" s="1"/>
  <c r="H3" i="26" s="1"/>
  <c r="I3" i="26" s="1"/>
  <c r="J3" i="26" s="1"/>
  <c r="K3" i="26" s="1"/>
  <c r="L3" i="26" s="1"/>
  <c r="M3" i="26" s="1"/>
  <c r="N3" i="26" s="1"/>
  <c r="O3" i="26" s="1"/>
  <c r="P3" i="26" s="1"/>
  <c r="P3" i="27" s="1"/>
  <c r="C4" i="26"/>
  <c r="F4" i="26"/>
  <c r="G4" i="26"/>
  <c r="H4" i="26"/>
  <c r="I4" i="26"/>
  <c r="J4" i="26"/>
  <c r="K4" i="26"/>
  <c r="L4" i="26"/>
  <c r="M4" i="26" s="1"/>
  <c r="N4" i="26" s="1"/>
  <c r="O4" i="26" s="1"/>
  <c r="P4" i="26" s="1"/>
  <c r="D5" i="26"/>
  <c r="E5" i="26"/>
  <c r="D6" i="26"/>
  <c r="E6" i="26"/>
  <c r="F9" i="26"/>
  <c r="Q9" i="26" s="1"/>
  <c r="I9" i="26"/>
  <c r="J9" i="26"/>
  <c r="K9" i="26"/>
  <c r="L9" i="26"/>
  <c r="M9" i="26"/>
  <c r="N9" i="26"/>
  <c r="O9" i="26"/>
  <c r="P9" i="26"/>
  <c r="G10" i="26"/>
  <c r="H10" i="26"/>
  <c r="I10" i="26"/>
  <c r="J10" i="26" s="1"/>
  <c r="K10" i="26" s="1"/>
  <c r="L10" i="26" s="1"/>
  <c r="M10" i="26" s="1"/>
  <c r="N10" i="26" s="1"/>
  <c r="O10" i="26" s="1"/>
  <c r="P10" i="26" s="1"/>
  <c r="F11" i="26"/>
  <c r="G12" i="26"/>
  <c r="H12" i="26" s="1"/>
  <c r="F13" i="26"/>
  <c r="G13" i="26"/>
  <c r="G14" i="26"/>
  <c r="H14" i="26" s="1"/>
  <c r="F15" i="26"/>
  <c r="G15" i="26"/>
  <c r="G16" i="26"/>
  <c r="H16" i="26"/>
  <c r="I16" i="26"/>
  <c r="J16" i="26"/>
  <c r="K16" i="26"/>
  <c r="L16" i="26" s="1"/>
  <c r="M16" i="26" s="1"/>
  <c r="N16" i="26" s="1"/>
  <c r="O16" i="26" s="1"/>
  <c r="P16" i="26" s="1"/>
  <c r="F17" i="26"/>
  <c r="G17" i="26"/>
  <c r="H17" i="26"/>
  <c r="I17" i="26" s="1"/>
  <c r="J17" i="26" s="1"/>
  <c r="K17" i="26" s="1"/>
  <c r="L17" i="26" s="1"/>
  <c r="M17" i="26" s="1"/>
  <c r="N17" i="26" s="1"/>
  <c r="O17" i="26" s="1"/>
  <c r="P17" i="26" s="1"/>
  <c r="G18" i="26"/>
  <c r="H18" i="26"/>
  <c r="I18" i="26"/>
  <c r="J18" i="26" s="1"/>
  <c r="K18" i="26" s="1"/>
  <c r="L18" i="26" s="1"/>
  <c r="M18" i="26" s="1"/>
  <c r="N18" i="26" s="1"/>
  <c r="O18" i="26" s="1"/>
  <c r="P18" i="26" s="1"/>
  <c r="F19" i="26"/>
  <c r="G19" i="26" s="1"/>
  <c r="H19" i="26" s="1"/>
  <c r="I19" i="26" s="1"/>
  <c r="J19" i="26" s="1"/>
  <c r="K19" i="26" s="1"/>
  <c r="L19" i="26" s="1"/>
  <c r="M19" i="26" s="1"/>
  <c r="N19" i="26" s="1"/>
  <c r="O19" i="26" s="1"/>
  <c r="P19" i="26" s="1"/>
  <c r="G20" i="26"/>
  <c r="G21" i="26" s="1"/>
  <c r="F21" i="26"/>
  <c r="G22" i="26"/>
  <c r="H22" i="26"/>
  <c r="I22" i="26"/>
  <c r="J22" i="26"/>
  <c r="K22" i="26"/>
  <c r="L22" i="26"/>
  <c r="M22" i="26"/>
  <c r="N22" i="26" s="1"/>
  <c r="O22" i="26" s="1"/>
  <c r="P22" i="26" s="1"/>
  <c r="F23" i="26"/>
  <c r="G23" i="26" s="1"/>
  <c r="G24" i="26"/>
  <c r="H24" i="26"/>
  <c r="I24" i="26"/>
  <c r="J24" i="26"/>
  <c r="K24" i="26"/>
  <c r="L24" i="26" s="1"/>
  <c r="M24" i="26" s="1"/>
  <c r="N24" i="26" s="1"/>
  <c r="O24" i="26" s="1"/>
  <c r="P24" i="26" s="1"/>
  <c r="F25" i="26"/>
  <c r="G25" i="26" s="1"/>
  <c r="G26" i="26"/>
  <c r="G27" i="26" s="1"/>
  <c r="H26" i="26"/>
  <c r="I26" i="26"/>
  <c r="J26" i="26" s="1"/>
  <c r="K26" i="26" s="1"/>
  <c r="L26" i="26" s="1"/>
  <c r="M26" i="26" s="1"/>
  <c r="N26" i="26" s="1"/>
  <c r="O26" i="26" s="1"/>
  <c r="P26" i="26" s="1"/>
  <c r="F27" i="26"/>
  <c r="G28" i="26"/>
  <c r="H28" i="26" s="1"/>
  <c r="I28" i="26" s="1"/>
  <c r="J28" i="26" s="1"/>
  <c r="K28" i="26" s="1"/>
  <c r="L28" i="26" s="1"/>
  <c r="M28" i="26" s="1"/>
  <c r="N28" i="26" s="1"/>
  <c r="O28" i="26" s="1"/>
  <c r="P28" i="26" s="1"/>
  <c r="F29" i="26"/>
  <c r="F33" i="26"/>
  <c r="G33" i="26"/>
  <c r="H33" i="26"/>
  <c r="I33" i="26" s="1"/>
  <c r="J33" i="26" s="1"/>
  <c r="K33" i="26" s="1"/>
  <c r="L33" i="26" s="1"/>
  <c r="M33" i="26" s="1"/>
  <c r="N33" i="26" s="1"/>
  <c r="O33" i="26" s="1"/>
  <c r="P33" i="26" s="1"/>
  <c r="F34" i="26"/>
  <c r="G34" i="26"/>
  <c r="H34" i="26"/>
  <c r="I34" i="26"/>
  <c r="J34" i="26"/>
  <c r="K34" i="26"/>
  <c r="L34" i="26"/>
  <c r="M34" i="26" s="1"/>
  <c r="N34" i="26" s="1"/>
  <c r="O34" i="26" s="1"/>
  <c r="P34" i="26" s="1"/>
  <c r="F35" i="26"/>
  <c r="G35" i="26" s="1"/>
  <c r="F36" i="26"/>
  <c r="G36" i="26"/>
  <c r="H36" i="26"/>
  <c r="I36" i="26" s="1"/>
  <c r="J36" i="26" s="1"/>
  <c r="K36" i="26" s="1"/>
  <c r="L36" i="26" s="1"/>
  <c r="M36" i="26" s="1"/>
  <c r="N36" i="26" s="1"/>
  <c r="O36" i="26" s="1"/>
  <c r="P36" i="26" s="1"/>
  <c r="F37" i="26"/>
  <c r="Q37" i="26" s="1"/>
  <c r="G37" i="26"/>
  <c r="H37" i="26"/>
  <c r="I37" i="26" s="1"/>
  <c r="J37" i="26" s="1"/>
  <c r="K37" i="26" s="1"/>
  <c r="L37" i="26" s="1"/>
  <c r="M37" i="26" s="1"/>
  <c r="N37" i="26" s="1"/>
  <c r="O37" i="26" s="1"/>
  <c r="P37" i="26" s="1"/>
  <c r="F38" i="26"/>
  <c r="G38" i="26"/>
  <c r="H38" i="26"/>
  <c r="I38" i="26" s="1"/>
  <c r="J38" i="26" s="1"/>
  <c r="K38" i="26" s="1"/>
  <c r="L38" i="26" s="1"/>
  <c r="M38" i="26" s="1"/>
  <c r="N38" i="26" s="1"/>
  <c r="O38" i="26" s="1"/>
  <c r="P38" i="26" s="1"/>
  <c r="F39" i="26"/>
  <c r="G39" i="26"/>
  <c r="H39" i="26"/>
  <c r="I39" i="26"/>
  <c r="J39" i="26"/>
  <c r="K39" i="26"/>
  <c r="L39" i="26"/>
  <c r="M39" i="26" s="1"/>
  <c r="N39" i="26" s="1"/>
  <c r="O39" i="26" s="1"/>
  <c r="P39" i="26" s="1"/>
  <c r="F40" i="26"/>
  <c r="G40" i="26" s="1"/>
  <c r="F41" i="26"/>
  <c r="G41" i="26"/>
  <c r="H41" i="26"/>
  <c r="I41" i="26" s="1"/>
  <c r="J41" i="26" s="1"/>
  <c r="K41" i="26" s="1"/>
  <c r="L41" i="26" s="1"/>
  <c r="M41" i="26" s="1"/>
  <c r="N41" i="26" s="1"/>
  <c r="O41" i="26" s="1"/>
  <c r="P41" i="26" s="1"/>
  <c r="F42" i="26"/>
  <c r="G42" i="26"/>
  <c r="H42" i="26"/>
  <c r="I42" i="26" s="1"/>
  <c r="J42" i="26" s="1"/>
  <c r="K42" i="26" s="1"/>
  <c r="L42" i="26" s="1"/>
  <c r="M42" i="26" s="1"/>
  <c r="N42" i="26" s="1"/>
  <c r="O42" i="26" s="1"/>
  <c r="P42" i="26" s="1"/>
  <c r="F43" i="26"/>
  <c r="G43" i="26"/>
  <c r="H43" i="26"/>
  <c r="I43" i="26" s="1"/>
  <c r="J43" i="26" s="1"/>
  <c r="K43" i="26" s="1"/>
  <c r="L43" i="26" s="1"/>
  <c r="M43" i="26" s="1"/>
  <c r="N43" i="26" s="1"/>
  <c r="O43" i="26" s="1"/>
  <c r="P43" i="26" s="1"/>
  <c r="F44" i="26"/>
  <c r="G44" i="26"/>
  <c r="H44" i="26"/>
  <c r="I44" i="26"/>
  <c r="J44" i="26"/>
  <c r="K44" i="26"/>
  <c r="L44" i="26"/>
  <c r="M44" i="26" s="1"/>
  <c r="N44" i="26" s="1"/>
  <c r="O44" i="26" s="1"/>
  <c r="P44" i="26" s="1"/>
  <c r="F45" i="26"/>
  <c r="G45" i="26" s="1"/>
  <c r="F46" i="26"/>
  <c r="G46" i="26"/>
  <c r="H46" i="26"/>
  <c r="I46" i="26" s="1"/>
  <c r="J46" i="26" s="1"/>
  <c r="K46" i="26" s="1"/>
  <c r="L46" i="26" s="1"/>
  <c r="M46" i="26" s="1"/>
  <c r="N46" i="26" s="1"/>
  <c r="O46" i="26" s="1"/>
  <c r="P46" i="26" s="1"/>
  <c r="C5" i="25"/>
  <c r="C6" i="25"/>
  <c r="C7" i="25" s="1"/>
  <c r="C8" i="25" s="1"/>
  <c r="D20" i="25"/>
  <c r="B24" i="25"/>
  <c r="B25" i="25"/>
  <c r="B26" i="25" s="1"/>
  <c r="B27" i="25" s="1"/>
  <c r="B28" i="25" s="1"/>
  <c r="B29" i="25" s="1"/>
  <c r="B30" i="25" s="1"/>
  <c r="B31" i="25" s="1"/>
  <c r="B32" i="25" s="1"/>
  <c r="B33" i="25" s="1"/>
  <c r="B34" i="25" s="1"/>
  <c r="K3" i="27" l="1"/>
  <c r="N3" i="27"/>
  <c r="L3" i="27"/>
  <c r="J3" i="27"/>
  <c r="M3" i="27"/>
  <c r="I3" i="27"/>
  <c r="O3" i="27"/>
  <c r="H3" i="27"/>
  <c r="G3" i="27"/>
  <c r="F3" i="27"/>
  <c r="E3" i="27"/>
  <c r="C10" i="28"/>
  <c r="D10" i="28"/>
  <c r="B11" i="28"/>
  <c r="H4" i="28"/>
  <c r="E5" i="28"/>
  <c r="D7" i="28"/>
  <c r="Q46" i="27"/>
  <c r="Q52" i="27"/>
  <c r="Q44" i="27"/>
  <c r="M9" i="27"/>
  <c r="Q13" i="27"/>
  <c r="G5" i="27"/>
  <c r="H45" i="27"/>
  <c r="I45" i="27" s="1"/>
  <c r="J45" i="27" s="1"/>
  <c r="K45" i="27" s="1"/>
  <c r="L45" i="27" s="1"/>
  <c r="M45" i="27" s="1"/>
  <c r="N45" i="27" s="1"/>
  <c r="O45" i="27" s="1"/>
  <c r="P45" i="27" s="1"/>
  <c r="I17" i="27"/>
  <c r="J16" i="27"/>
  <c r="K16" i="27" s="1"/>
  <c r="L16" i="27" s="1"/>
  <c r="M16" i="27" s="1"/>
  <c r="N16" i="27" s="1"/>
  <c r="O16" i="27" s="1"/>
  <c r="P16" i="27" s="1"/>
  <c r="H25" i="27"/>
  <c r="I25" i="27" s="1"/>
  <c r="J25" i="27" s="1"/>
  <c r="K25" i="27" s="1"/>
  <c r="L25" i="27" s="1"/>
  <c r="M25" i="27" s="1"/>
  <c r="N25" i="27" s="1"/>
  <c r="O25" i="27" s="1"/>
  <c r="P25" i="27" s="1"/>
  <c r="I51" i="27"/>
  <c r="J51" i="27" s="1"/>
  <c r="K51" i="27" s="1"/>
  <c r="L51" i="27" s="1"/>
  <c r="M51" i="27" s="1"/>
  <c r="N51" i="27" s="1"/>
  <c r="O51" i="27" s="1"/>
  <c r="P51" i="27" s="1"/>
  <c r="Q41" i="27"/>
  <c r="H21" i="27"/>
  <c r="I21" i="27" s="1"/>
  <c r="J21" i="27" s="1"/>
  <c r="K21" i="27" s="1"/>
  <c r="L21" i="27" s="1"/>
  <c r="M21" i="27" s="1"/>
  <c r="N21" i="27" s="1"/>
  <c r="O21" i="27" s="1"/>
  <c r="P21" i="27" s="1"/>
  <c r="Q49" i="27"/>
  <c r="H48" i="27"/>
  <c r="I48" i="27" s="1"/>
  <c r="J48" i="27" s="1"/>
  <c r="K48" i="27" s="1"/>
  <c r="L48" i="27" s="1"/>
  <c r="M48" i="27" s="1"/>
  <c r="N48" i="27" s="1"/>
  <c r="O48" i="27" s="1"/>
  <c r="P48" i="27" s="1"/>
  <c r="J26" i="27"/>
  <c r="K26" i="27" s="1"/>
  <c r="L26" i="27" s="1"/>
  <c r="M26" i="27" s="1"/>
  <c r="N26" i="27" s="1"/>
  <c r="O26" i="27" s="1"/>
  <c r="P26" i="27" s="1"/>
  <c r="I27" i="27"/>
  <c r="J27" i="27" s="1"/>
  <c r="K27" i="27" s="1"/>
  <c r="L27" i="27" s="1"/>
  <c r="M27" i="27" s="1"/>
  <c r="N27" i="27" s="1"/>
  <c r="O27" i="27" s="1"/>
  <c r="P27" i="27" s="1"/>
  <c r="I15" i="27"/>
  <c r="J14" i="27"/>
  <c r="K14" i="27" s="1"/>
  <c r="L14" i="27" s="1"/>
  <c r="M14" i="27" s="1"/>
  <c r="N14" i="27" s="1"/>
  <c r="O14" i="27" s="1"/>
  <c r="P14" i="27" s="1"/>
  <c r="I40" i="27"/>
  <c r="J40" i="27" s="1"/>
  <c r="K40" i="27" s="1"/>
  <c r="L40" i="27" s="1"/>
  <c r="M40" i="27" s="1"/>
  <c r="N40" i="27" s="1"/>
  <c r="O40" i="27" s="1"/>
  <c r="P40" i="27" s="1"/>
  <c r="I29" i="27"/>
  <c r="J28" i="27"/>
  <c r="K28" i="27" s="1"/>
  <c r="L28" i="27" s="1"/>
  <c r="M28" i="27" s="1"/>
  <c r="N28" i="27" s="1"/>
  <c r="O28" i="27" s="1"/>
  <c r="P28" i="27" s="1"/>
  <c r="Q23" i="27"/>
  <c r="H23" i="27"/>
  <c r="I23" i="27" s="1"/>
  <c r="J23" i="27" s="1"/>
  <c r="K23" i="27" s="1"/>
  <c r="L23" i="27" s="1"/>
  <c r="M23" i="27" s="1"/>
  <c r="N23" i="27" s="1"/>
  <c r="O23" i="27" s="1"/>
  <c r="P23" i="27" s="1"/>
  <c r="E6" i="27"/>
  <c r="F6" i="27" s="1"/>
  <c r="Q43" i="27"/>
  <c r="G13" i="27"/>
  <c r="H13" i="27" s="1"/>
  <c r="I13" i="27" s="1"/>
  <c r="J13" i="27" s="1"/>
  <c r="K13" i="27" s="1"/>
  <c r="L13" i="27" s="1"/>
  <c r="M13" i="27" s="1"/>
  <c r="N13" i="27" s="1"/>
  <c r="O13" i="27" s="1"/>
  <c r="P13" i="27" s="1"/>
  <c r="Q19" i="27"/>
  <c r="H25" i="26"/>
  <c r="I25" i="26" s="1"/>
  <c r="J25" i="26" s="1"/>
  <c r="K25" i="26" s="1"/>
  <c r="L25" i="26" s="1"/>
  <c r="M25" i="26" s="1"/>
  <c r="N25" i="26" s="1"/>
  <c r="O25" i="26" s="1"/>
  <c r="P25" i="26" s="1"/>
  <c r="Q25" i="26"/>
  <c r="Q42" i="26"/>
  <c r="H40" i="26"/>
  <c r="I40" i="26" s="1"/>
  <c r="J40" i="26" s="1"/>
  <c r="K40" i="26" s="1"/>
  <c r="L40" i="26" s="1"/>
  <c r="M40" i="26" s="1"/>
  <c r="N40" i="26" s="1"/>
  <c r="O40" i="26" s="1"/>
  <c r="P40" i="26" s="1"/>
  <c r="H45" i="26"/>
  <c r="I45" i="26" s="1"/>
  <c r="J45" i="26" s="1"/>
  <c r="K45" i="26" s="1"/>
  <c r="L45" i="26" s="1"/>
  <c r="M45" i="26" s="1"/>
  <c r="N45" i="26" s="1"/>
  <c r="O45" i="26" s="1"/>
  <c r="P45" i="26" s="1"/>
  <c r="H15" i="26"/>
  <c r="I15" i="26" s="1"/>
  <c r="J15" i="26" s="1"/>
  <c r="K15" i="26" s="1"/>
  <c r="L15" i="26" s="1"/>
  <c r="M15" i="26" s="1"/>
  <c r="N15" i="26" s="1"/>
  <c r="O15" i="26" s="1"/>
  <c r="P15" i="26" s="1"/>
  <c r="I14" i="26"/>
  <c r="J14" i="26" s="1"/>
  <c r="K14" i="26" s="1"/>
  <c r="L14" i="26" s="1"/>
  <c r="M14" i="26" s="1"/>
  <c r="N14" i="26" s="1"/>
  <c r="O14" i="26" s="1"/>
  <c r="P14" i="26" s="1"/>
  <c r="Q39" i="26"/>
  <c r="I12" i="26"/>
  <c r="J12" i="26" s="1"/>
  <c r="K12" i="26" s="1"/>
  <c r="L12" i="26" s="1"/>
  <c r="M12" i="26" s="1"/>
  <c r="N12" i="26" s="1"/>
  <c r="O12" i="26" s="1"/>
  <c r="P12" i="26" s="1"/>
  <c r="H13" i="26"/>
  <c r="I13" i="26" s="1"/>
  <c r="J13" i="26" s="1"/>
  <c r="K13" i="26" s="1"/>
  <c r="L13" i="26" s="1"/>
  <c r="M13" i="26" s="1"/>
  <c r="N13" i="26" s="1"/>
  <c r="O13" i="26" s="1"/>
  <c r="P13" i="26" s="1"/>
  <c r="Q29" i="26"/>
  <c r="H21" i="26"/>
  <c r="I21" i="26" s="1"/>
  <c r="J21" i="26" s="1"/>
  <c r="K21" i="26" s="1"/>
  <c r="L21" i="26" s="1"/>
  <c r="M21" i="26" s="1"/>
  <c r="N21" i="26" s="1"/>
  <c r="O21" i="26" s="1"/>
  <c r="P21" i="26" s="1"/>
  <c r="Q21" i="26"/>
  <c r="Q44" i="26"/>
  <c r="H27" i="26"/>
  <c r="I27" i="26" s="1"/>
  <c r="J27" i="26" s="1"/>
  <c r="K27" i="26" s="1"/>
  <c r="L27" i="26" s="1"/>
  <c r="M27" i="26" s="1"/>
  <c r="N27" i="26" s="1"/>
  <c r="O27" i="26" s="1"/>
  <c r="P27" i="26" s="1"/>
  <c r="Q27" i="26"/>
  <c r="Q36" i="26"/>
  <c r="Q17" i="26"/>
  <c r="H35" i="26"/>
  <c r="I35" i="26" s="1"/>
  <c r="J35" i="26" s="1"/>
  <c r="K35" i="26" s="1"/>
  <c r="L35" i="26" s="1"/>
  <c r="M35" i="26" s="1"/>
  <c r="N35" i="26" s="1"/>
  <c r="O35" i="26" s="1"/>
  <c r="P35" i="26" s="1"/>
  <c r="Q35" i="26"/>
  <c r="Q41" i="26"/>
  <c r="H23" i="26"/>
  <c r="I23" i="26" s="1"/>
  <c r="J23" i="26" s="1"/>
  <c r="K23" i="26" s="1"/>
  <c r="L23" i="26" s="1"/>
  <c r="M23" i="26" s="1"/>
  <c r="N23" i="26" s="1"/>
  <c r="O23" i="26" s="1"/>
  <c r="P23" i="26" s="1"/>
  <c r="Q23" i="26"/>
  <c r="Q46" i="26"/>
  <c r="Q34" i="26"/>
  <c r="Q43" i="26"/>
  <c r="Q38" i="26"/>
  <c r="Q33" i="26"/>
  <c r="H20" i="26"/>
  <c r="I20" i="26" s="1"/>
  <c r="J20" i="26" s="1"/>
  <c r="K20" i="26" s="1"/>
  <c r="L20" i="26" s="1"/>
  <c r="M20" i="26" s="1"/>
  <c r="N20" i="26" s="1"/>
  <c r="O20" i="26" s="1"/>
  <c r="P20" i="26" s="1"/>
  <c r="G11" i="26"/>
  <c r="Q19" i="26"/>
  <c r="G29" i="26"/>
  <c r="H29" i="26" s="1"/>
  <c r="I29" i="26" s="1"/>
  <c r="J29" i="26" s="1"/>
  <c r="K29" i="26" s="1"/>
  <c r="L29" i="26" s="1"/>
  <c r="M29" i="26" s="1"/>
  <c r="N29" i="26" s="1"/>
  <c r="O29" i="26" s="1"/>
  <c r="P29" i="26" s="1"/>
  <c r="F5" i="26"/>
  <c r="H5" i="28" l="1"/>
  <c r="G5" i="28"/>
  <c r="E6" i="28"/>
  <c r="F7" i="28"/>
  <c r="D11" i="28"/>
  <c r="C11" i="28"/>
  <c r="B12" i="28"/>
  <c r="Q25" i="27"/>
  <c r="I5" i="27"/>
  <c r="Q21" i="27"/>
  <c r="J29" i="27"/>
  <c r="K29" i="27" s="1"/>
  <c r="L29" i="27" s="1"/>
  <c r="M29" i="27" s="1"/>
  <c r="N29" i="27" s="1"/>
  <c r="O29" i="27" s="1"/>
  <c r="P29" i="27" s="1"/>
  <c r="Q40" i="27"/>
  <c r="Q45" i="27"/>
  <c r="Q48" i="27"/>
  <c r="H5" i="27"/>
  <c r="J17" i="27"/>
  <c r="K17" i="27" s="1"/>
  <c r="L17" i="27" s="1"/>
  <c r="M17" i="27" s="1"/>
  <c r="N17" i="27" s="1"/>
  <c r="O17" i="27" s="1"/>
  <c r="P17" i="27" s="1"/>
  <c r="Q29" i="27"/>
  <c r="G6" i="27"/>
  <c r="J15" i="27"/>
  <c r="Q27" i="27"/>
  <c r="N9" i="27"/>
  <c r="Q51" i="27"/>
  <c r="Q13" i="26"/>
  <c r="Q15" i="26"/>
  <c r="Q45" i="26"/>
  <c r="Q40" i="26"/>
  <c r="G5" i="26"/>
  <c r="H11" i="26"/>
  <c r="F6" i="26"/>
  <c r="F8" i="28" l="1"/>
  <c r="B13" i="28"/>
  <c r="C12" i="28"/>
  <c r="D12" i="28"/>
  <c r="E7" i="28"/>
  <c r="E8" i="28" s="1"/>
  <c r="E9" i="28" s="1"/>
  <c r="E10" i="28" s="1"/>
  <c r="E11" i="28" s="1"/>
  <c r="E12" i="28" s="1"/>
  <c r="H6" i="28"/>
  <c r="G6" i="28"/>
  <c r="H6" i="27"/>
  <c r="I6" i="27" s="1"/>
  <c r="O9" i="27"/>
  <c r="Q17" i="27"/>
  <c r="K15" i="27"/>
  <c r="J5" i="27"/>
  <c r="H5" i="26"/>
  <c r="I11" i="26"/>
  <c r="G6" i="26"/>
  <c r="H6" i="26" s="1"/>
  <c r="G8" i="28" l="1"/>
  <c r="F9" i="28"/>
  <c r="H8" i="28"/>
  <c r="C13" i="28"/>
  <c r="E13" i="28" s="1"/>
  <c r="D13" i="28"/>
  <c r="B14" i="28"/>
  <c r="H7" i="28"/>
  <c r="G7" i="28"/>
  <c r="P9" i="27"/>
  <c r="L15" i="27"/>
  <c r="K5" i="27"/>
  <c r="J6" i="27"/>
  <c r="I5" i="26"/>
  <c r="J11" i="26"/>
  <c r="C14" i="28" l="1"/>
  <c r="E14" i="28" s="1"/>
  <c r="D14" i="28"/>
  <c r="B15" i="28"/>
  <c r="H9" i="28"/>
  <c r="F10" i="28"/>
  <c r="G9" i="28"/>
  <c r="K6" i="27"/>
  <c r="M15" i="27"/>
  <c r="L5" i="27"/>
  <c r="Q9" i="27"/>
  <c r="K11" i="26"/>
  <c r="J5" i="26"/>
  <c r="I6" i="26"/>
  <c r="H10" i="28" l="1"/>
  <c r="F11" i="28"/>
  <c r="G10" i="28"/>
  <c r="B16" i="28"/>
  <c r="D15" i="28"/>
  <c r="C15" i="28"/>
  <c r="E15" i="28" s="1"/>
  <c r="N15" i="27"/>
  <c r="M5" i="27"/>
  <c r="L6" i="27"/>
  <c r="J6" i="26"/>
  <c r="L11" i="26"/>
  <c r="K5" i="26"/>
  <c r="F12" i="28" l="1"/>
  <c r="G11" i="28"/>
  <c r="H11" i="28"/>
  <c r="C16" i="28"/>
  <c r="C17" i="28" s="1"/>
  <c r="D16" i="28"/>
  <c r="D17" i="28" s="1"/>
  <c r="M6" i="27"/>
  <c r="O15" i="27"/>
  <c r="N5" i="27"/>
  <c r="M11" i="26"/>
  <c r="L5" i="26"/>
  <c r="K6" i="26"/>
  <c r="G12" i="28" l="1"/>
  <c r="H12" i="28"/>
  <c r="F13" i="28"/>
  <c r="C18" i="28"/>
  <c r="E16" i="28"/>
  <c r="P15" i="27"/>
  <c r="O5" i="27"/>
  <c r="N6" i="27"/>
  <c r="L6" i="26"/>
  <c r="N11" i="26"/>
  <c r="M5" i="26"/>
  <c r="G13" i="28" l="1"/>
  <c r="H13" i="28"/>
  <c r="F14" i="28"/>
  <c r="O6" i="27"/>
  <c r="Q15" i="27"/>
  <c r="P5" i="27"/>
  <c r="O11" i="26"/>
  <c r="N5" i="26"/>
  <c r="M6" i="26"/>
  <c r="F15" i="28" l="1"/>
  <c r="G14" i="28"/>
  <c r="H14" i="28"/>
  <c r="Q5" i="27"/>
  <c r="D59" i="27"/>
  <c r="D61" i="27"/>
  <c r="P6" i="27"/>
  <c r="D60" i="27" s="1"/>
  <c r="N6" i="26"/>
  <c r="P11" i="26"/>
  <c r="O5" i="26"/>
  <c r="G15" i="28" l="1"/>
  <c r="H15" i="28"/>
  <c r="F16" i="28"/>
  <c r="P5" i="26"/>
  <c r="Q11" i="26"/>
  <c r="O6" i="26"/>
  <c r="G16" i="28" l="1"/>
  <c r="H16" i="28"/>
  <c r="P6" i="26"/>
  <c r="D54" i="26"/>
  <c r="D53" i="26"/>
  <c r="Q5" i="26"/>
  <c r="D55" i="26"/>
  <c r="G88" i="1" l="1"/>
  <c r="G84" i="1"/>
  <c r="G80" i="1"/>
  <c r="G62" i="1"/>
  <c r="G58" i="1"/>
  <c r="G36" i="1" l="1"/>
  <c r="G37" i="1"/>
  <c r="G38" i="1"/>
  <c r="G39" i="1"/>
  <c r="G40" i="1"/>
  <c r="G41" i="1"/>
  <c r="G42" i="1"/>
  <c r="G43" i="1"/>
  <c r="G44" i="1"/>
  <c r="G45" i="1"/>
  <c r="G46" i="1"/>
  <c r="G47" i="1"/>
  <c r="G48" i="1"/>
  <c r="G49" i="1"/>
  <c r="G50" i="1"/>
  <c r="G51" i="1"/>
  <c r="G52" i="1"/>
  <c r="G53" i="1"/>
  <c r="G54" i="1"/>
  <c r="G55" i="1"/>
  <c r="G56" i="1"/>
  <c r="G57" i="1"/>
  <c r="G35" i="1"/>
  <c r="G27" i="1"/>
  <c r="G28" i="1"/>
  <c r="G29" i="1"/>
  <c r="G30" i="1"/>
  <c r="G31" i="1"/>
  <c r="G32" i="1"/>
  <c r="G24" i="1"/>
  <c r="K62" i="1" l="1"/>
  <c r="K23" i="1"/>
  <c r="K84" i="1" l="1"/>
  <c r="K91" i="1"/>
  <c r="K34" i="1" l="1"/>
  <c r="K15" i="1"/>
  <c r="K88" i="1"/>
  <c r="K80" i="1"/>
  <c r="K75" i="1"/>
  <c r="K58" i="1"/>
  <c r="K92" i="1" l="1"/>
  <c r="J35" i="18"/>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0090D73E-6CEF-4C91-AB46-A43EEC3BDA5A}">
      <text>
        <r>
          <rPr>
            <b/>
            <sz val="9"/>
            <color indexed="81"/>
            <rFont val="Tahoma"/>
            <family val="2"/>
          </rPr>
          <t>Eduardo Montes, PMP:</t>
        </r>
        <r>
          <rPr>
            <sz val="9"/>
            <color indexed="81"/>
            <rFont val="Tahoma"/>
            <family val="2"/>
          </rPr>
          <t xml:space="preserve">
Explique o ganho financeiro e forma de cálculo</t>
        </r>
      </text>
    </comment>
    <comment ref="B10" authorId="0" shapeId="0" xr:uid="{D909A8AD-6538-4F10-9AA7-0F7FBB44459C}">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1" authorId="0" shapeId="0" xr:uid="{307081DD-526B-40FB-8142-01592BF94EF6}">
      <text>
        <r>
          <rPr>
            <b/>
            <sz val="9"/>
            <color indexed="81"/>
            <rFont val="Tahoma"/>
            <family val="2"/>
          </rPr>
          <t>Eduardo Montes, PMP:</t>
        </r>
        <r>
          <rPr>
            <sz val="9"/>
            <color indexed="81"/>
            <rFont val="Tahoma"/>
            <family val="2"/>
          </rPr>
          <t xml:space="preserve">
Explique o ganho financeiro e forma de cálculo</t>
        </r>
      </text>
    </comment>
    <comment ref="B12" authorId="0" shapeId="0" xr:uid="{A9F0E159-5814-4F44-A1EB-7D2AF579A1DB}">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3" authorId="0" shapeId="0" xr:uid="{43F4CE14-50D9-44F2-8810-D78353986B04}">
      <text>
        <r>
          <rPr>
            <b/>
            <sz val="9"/>
            <color indexed="81"/>
            <rFont val="Tahoma"/>
            <family val="2"/>
          </rPr>
          <t>Eduardo Montes, PMP:</t>
        </r>
        <r>
          <rPr>
            <sz val="9"/>
            <color indexed="81"/>
            <rFont val="Tahoma"/>
            <family val="2"/>
          </rPr>
          <t xml:space="preserve">
Explique o ganho financeiro e forma de cálculo</t>
        </r>
      </text>
    </comment>
    <comment ref="B14" authorId="0" shapeId="0" xr:uid="{F0529566-474A-48EF-8E91-5EA9C01F3FD9}">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5" authorId="0" shapeId="0" xr:uid="{59FE704C-5C9C-4F92-A101-EB3A7DCF1B34}">
      <text>
        <r>
          <rPr>
            <b/>
            <sz val="9"/>
            <color indexed="81"/>
            <rFont val="Tahoma"/>
            <family val="2"/>
          </rPr>
          <t>Eduardo Montes, PMP:</t>
        </r>
        <r>
          <rPr>
            <sz val="9"/>
            <color indexed="81"/>
            <rFont val="Tahoma"/>
            <family val="2"/>
          </rPr>
          <t xml:space="preserve">
Explique o ganho financeiro e forma de cálculo</t>
        </r>
      </text>
    </comment>
    <comment ref="B16" authorId="0" shapeId="0" xr:uid="{9B1439E1-3931-4D09-9D93-DEAE3AFB2714}">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7" authorId="0" shapeId="0" xr:uid="{0D05AE9A-6005-4BCC-8F42-9C6567878B12}">
      <text>
        <r>
          <rPr>
            <b/>
            <sz val="9"/>
            <color indexed="81"/>
            <rFont val="Tahoma"/>
            <family val="2"/>
          </rPr>
          <t>Eduardo Montes, PMP:</t>
        </r>
        <r>
          <rPr>
            <sz val="9"/>
            <color indexed="81"/>
            <rFont val="Tahoma"/>
            <family val="2"/>
          </rPr>
          <t xml:space="preserve">
Explique o ganho financeiro e forma de cálculo</t>
        </r>
      </text>
    </comment>
    <comment ref="B18" authorId="0" shapeId="0" xr:uid="{0B49801B-5C2E-4DE9-A346-564FC3C1E7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9" authorId="0" shapeId="0" xr:uid="{6820B822-94C7-4A43-83E6-1B29D5E41DCD}">
      <text>
        <r>
          <rPr>
            <b/>
            <sz val="9"/>
            <color indexed="81"/>
            <rFont val="Tahoma"/>
            <family val="2"/>
          </rPr>
          <t>Eduardo Montes, PMP:</t>
        </r>
        <r>
          <rPr>
            <sz val="9"/>
            <color indexed="81"/>
            <rFont val="Tahoma"/>
            <family val="2"/>
          </rPr>
          <t xml:space="preserve">
Explique o ganho financeiro e forma de cálculo</t>
        </r>
      </text>
    </comment>
    <comment ref="B20" authorId="0" shapeId="0" xr:uid="{46F6875E-BB21-439B-82BB-CF02EB979672}">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1" authorId="0" shapeId="0" xr:uid="{19A9423E-7020-45BC-AA1B-F38834C915C0}">
      <text>
        <r>
          <rPr>
            <b/>
            <sz val="9"/>
            <color indexed="81"/>
            <rFont val="Tahoma"/>
            <family val="2"/>
          </rPr>
          <t>Eduardo Montes, PMP:</t>
        </r>
        <r>
          <rPr>
            <sz val="9"/>
            <color indexed="81"/>
            <rFont val="Tahoma"/>
            <family val="2"/>
          </rPr>
          <t xml:space="preserve">
Explique o ganho financeiro e forma de cálculo</t>
        </r>
      </text>
    </comment>
    <comment ref="B22" authorId="0" shapeId="0" xr:uid="{CF81F7ED-2817-4412-A260-B0F8A0A184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3" authorId="0" shapeId="0" xr:uid="{554C31B5-22EE-4BC8-B92D-36C412D6512B}">
      <text>
        <r>
          <rPr>
            <b/>
            <sz val="9"/>
            <color indexed="81"/>
            <rFont val="Tahoma"/>
            <family val="2"/>
          </rPr>
          <t>Eduardo Montes, PMP:</t>
        </r>
        <r>
          <rPr>
            <sz val="9"/>
            <color indexed="81"/>
            <rFont val="Tahoma"/>
            <family val="2"/>
          </rPr>
          <t xml:space="preserve">
Explique o ganho financeiro e forma de cálculo</t>
        </r>
      </text>
    </comment>
    <comment ref="B24" authorId="0" shapeId="0" xr:uid="{42FE33D3-CF9B-42A6-A8E7-E42F9B5D18C1}">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5" authorId="0" shapeId="0" xr:uid="{178B6183-660B-4D66-88B0-8EBAD9E1CD36}">
      <text>
        <r>
          <rPr>
            <b/>
            <sz val="9"/>
            <color indexed="81"/>
            <rFont val="Tahoma"/>
            <family val="2"/>
          </rPr>
          <t>Eduardo Montes, PMP:</t>
        </r>
        <r>
          <rPr>
            <sz val="9"/>
            <color indexed="81"/>
            <rFont val="Tahoma"/>
            <family val="2"/>
          </rPr>
          <t xml:space="preserve">
Explique o ganho financeiro e forma de cálculo</t>
        </r>
      </text>
    </comment>
    <comment ref="B26" authorId="0" shapeId="0" xr:uid="{E5CE19BC-C6A8-41EA-A34B-4F7767E30EAE}">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7" authorId="0" shapeId="0" xr:uid="{81510A79-B294-4C14-8BB1-C1DE8748B556}">
      <text>
        <r>
          <rPr>
            <b/>
            <sz val="9"/>
            <color indexed="81"/>
            <rFont val="Tahoma"/>
            <family val="2"/>
          </rPr>
          <t>Eduardo Montes, PMP:</t>
        </r>
        <r>
          <rPr>
            <sz val="9"/>
            <color indexed="81"/>
            <rFont val="Tahoma"/>
            <family val="2"/>
          </rPr>
          <t xml:space="preserve">
Explique o ganho financeiro e forma de cálculo</t>
        </r>
      </text>
    </comment>
    <comment ref="B28" authorId="0" shapeId="0" xr:uid="{70941643-A2A2-4FFA-ADB2-58283E628A3F}">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9" authorId="0" shapeId="0" xr:uid="{6B6E1068-0D6C-4E08-ABEC-11E40E2BB262}">
      <text>
        <r>
          <rPr>
            <b/>
            <sz val="9"/>
            <color indexed="81"/>
            <rFont val="Tahoma"/>
            <family val="2"/>
          </rPr>
          <t>Eduardo Montes, PMP:</t>
        </r>
        <r>
          <rPr>
            <sz val="9"/>
            <color indexed="81"/>
            <rFont val="Tahoma"/>
            <family val="2"/>
          </rPr>
          <t xml:space="preserve">
Explique o ganho financeiro e forma de cálculo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6E283095-DECC-43F6-828E-B8075232961D}">
      <text>
        <r>
          <rPr>
            <b/>
            <sz val="9"/>
            <color indexed="81"/>
            <rFont val="Tahoma"/>
            <family val="2"/>
          </rPr>
          <t>Eduardo Montes, PMP:</t>
        </r>
        <r>
          <rPr>
            <sz val="9"/>
            <color indexed="81"/>
            <rFont val="Tahoma"/>
            <family val="2"/>
          </rPr>
          <t xml:space="preserve">
Explique o ganho financeiro e forma de cálculo</t>
        </r>
      </text>
    </comment>
    <comment ref="C11" authorId="0" shapeId="0" xr:uid="{64D7D555-6448-4561-995C-4CB090A39B7F}">
      <text>
        <r>
          <rPr>
            <b/>
            <sz val="9"/>
            <color indexed="81"/>
            <rFont val="Tahoma"/>
            <family val="2"/>
          </rPr>
          <t>Eduardo Montes, PMP:</t>
        </r>
        <r>
          <rPr>
            <sz val="9"/>
            <color indexed="81"/>
            <rFont val="Tahoma"/>
            <family val="2"/>
          </rPr>
          <t xml:space="preserve">
Explique o ganho financeiro e forma de cálculo</t>
        </r>
      </text>
    </comment>
    <comment ref="C13" authorId="0" shapeId="0" xr:uid="{FD2B9904-C11D-40B7-B790-D0B5750B372B}">
      <text>
        <r>
          <rPr>
            <b/>
            <sz val="9"/>
            <color indexed="81"/>
            <rFont val="Tahoma"/>
            <family val="2"/>
          </rPr>
          <t>Eduardo Montes, PMP:</t>
        </r>
        <r>
          <rPr>
            <sz val="9"/>
            <color indexed="81"/>
            <rFont val="Tahoma"/>
            <family val="2"/>
          </rPr>
          <t xml:space="preserve">
Explique o ganho financeiro e forma de cálculo</t>
        </r>
      </text>
    </comment>
    <comment ref="C15" authorId="0" shapeId="0" xr:uid="{5C8AAE85-00D3-4368-BEF5-1072412C0126}">
      <text>
        <r>
          <rPr>
            <b/>
            <sz val="9"/>
            <color indexed="81"/>
            <rFont val="Tahoma"/>
            <family val="2"/>
          </rPr>
          <t>Eduardo Montes, PMP:</t>
        </r>
        <r>
          <rPr>
            <sz val="9"/>
            <color indexed="81"/>
            <rFont val="Tahoma"/>
            <family val="2"/>
          </rPr>
          <t xml:space="preserve">
Explique o ganho financeiro e forma de cálculo</t>
        </r>
      </text>
    </comment>
    <comment ref="C17" authorId="0" shapeId="0" xr:uid="{B8DC27F6-0176-403A-8868-5DA85EE53426}">
      <text>
        <r>
          <rPr>
            <b/>
            <sz val="9"/>
            <color indexed="81"/>
            <rFont val="Tahoma"/>
            <family val="2"/>
          </rPr>
          <t>Eduardo Montes, PMP:</t>
        </r>
        <r>
          <rPr>
            <sz val="9"/>
            <color indexed="81"/>
            <rFont val="Tahoma"/>
            <family val="2"/>
          </rPr>
          <t xml:space="preserve">
Explique o ganho financeiro e forma de cálculo</t>
        </r>
      </text>
    </comment>
    <comment ref="C19" authorId="0" shapeId="0" xr:uid="{52273597-8917-45A1-94A9-FD9834302AE0}">
      <text>
        <r>
          <rPr>
            <b/>
            <sz val="9"/>
            <color indexed="81"/>
            <rFont val="Tahoma"/>
            <family val="2"/>
          </rPr>
          <t>Eduardo Montes, PMP:</t>
        </r>
        <r>
          <rPr>
            <sz val="9"/>
            <color indexed="81"/>
            <rFont val="Tahoma"/>
            <family val="2"/>
          </rPr>
          <t xml:space="preserve">
Explique o ganho financeiro e forma de cálculo</t>
        </r>
      </text>
    </comment>
    <comment ref="C21" authorId="0" shapeId="0" xr:uid="{B3971EAA-C1B6-4D17-8961-FFA46AEE3689}">
      <text>
        <r>
          <rPr>
            <b/>
            <sz val="9"/>
            <color indexed="81"/>
            <rFont val="Tahoma"/>
            <family val="2"/>
          </rPr>
          <t>Eduardo Montes, PMP:</t>
        </r>
        <r>
          <rPr>
            <sz val="9"/>
            <color indexed="81"/>
            <rFont val="Tahoma"/>
            <family val="2"/>
          </rPr>
          <t xml:space="preserve">
Explique o ganho financeiro e forma de cálculo</t>
        </r>
      </text>
    </comment>
    <comment ref="C23" authorId="0" shapeId="0" xr:uid="{E90641EC-BE88-47F8-8341-A1FDF7F26791}">
      <text>
        <r>
          <rPr>
            <b/>
            <sz val="9"/>
            <color indexed="81"/>
            <rFont val="Tahoma"/>
            <family val="2"/>
          </rPr>
          <t>Eduardo Montes, PMP:</t>
        </r>
        <r>
          <rPr>
            <sz val="9"/>
            <color indexed="81"/>
            <rFont val="Tahoma"/>
            <family val="2"/>
          </rPr>
          <t xml:space="preserve">
Explique o ganho financeiro e forma de cálculo</t>
        </r>
      </text>
    </comment>
    <comment ref="C25" authorId="0" shapeId="0" xr:uid="{FCA6C5EF-28F0-483E-BFC3-7D777A59DC5E}">
      <text>
        <r>
          <rPr>
            <b/>
            <sz val="9"/>
            <color indexed="81"/>
            <rFont val="Tahoma"/>
            <family val="2"/>
          </rPr>
          <t>Eduardo Montes, PMP:</t>
        </r>
        <r>
          <rPr>
            <sz val="9"/>
            <color indexed="81"/>
            <rFont val="Tahoma"/>
            <family val="2"/>
          </rPr>
          <t xml:space="preserve">
Explique o ganho financeiro e forma de cálculo</t>
        </r>
      </text>
    </comment>
    <comment ref="C27" authorId="0" shapeId="0" xr:uid="{F5ACE7D0-1296-413A-8BAD-DD5C62016B80}">
      <text>
        <r>
          <rPr>
            <b/>
            <sz val="9"/>
            <color indexed="81"/>
            <rFont val="Tahoma"/>
            <family val="2"/>
          </rPr>
          <t>Eduardo Montes, PMP:</t>
        </r>
        <r>
          <rPr>
            <sz val="9"/>
            <color indexed="81"/>
            <rFont val="Tahoma"/>
            <family val="2"/>
          </rPr>
          <t xml:space="preserve">
Explique o ganho financeiro e forma de cálculo</t>
        </r>
      </text>
    </comment>
    <comment ref="C29" authorId="0" shapeId="0" xr:uid="{D126E8C4-B811-4B79-9066-B215986FC4D5}">
      <text>
        <r>
          <rPr>
            <b/>
            <sz val="9"/>
            <color indexed="81"/>
            <rFont val="Tahoma"/>
            <family val="2"/>
          </rPr>
          <t>Eduardo Montes, PMP:</t>
        </r>
        <r>
          <rPr>
            <sz val="9"/>
            <color indexed="81"/>
            <rFont val="Tahoma"/>
            <family val="2"/>
          </rPr>
          <t xml:space="preserve">
Explique o ganho financeiro e forma de cálculo</t>
        </r>
      </text>
    </comment>
  </commentList>
</comments>
</file>

<file path=xl/sharedStrings.xml><?xml version="1.0" encoding="utf-8"?>
<sst xmlns="http://schemas.openxmlformats.org/spreadsheetml/2006/main" count="2729" uniqueCount="1058">
  <si>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</si>
  <si>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</si>
  <si>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</si>
  <si>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</si>
  <si>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</si>
  <si>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</si>
  <si>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</si>
  <si>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</si>
  <si>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</si>
  <si>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</si>
  <si>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</si>
  <si>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</si>
  <si>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</si>
  <si>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</si>
  <si>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</si>
  <si>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</si>
  <si>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</si>
  <si>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</si>
  <si>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</si>
  <si>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</si>
  <si>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</si>
  <si>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</si>
  <si>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</si>
  <si>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</si>
  <si>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</si>
  <si>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</si>
  <si>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</si>
  <si>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</si>
  <si>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Duração em semanas</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</si>
  <si>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</si>
  <si>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</si>
  <si>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</si>
  <si>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</si>
  <si>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</si>
  <si>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</si>
  <si>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</si>
  <si>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</si>
  <si>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</si>
  <si>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</si>
  <si>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</si>
  <si>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</si>
  <si>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</si>
  <si>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</si>
  <si>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</si>
  <si>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</si>
  <si>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</si>
  <si>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</si>
  <si>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</si>
  <si>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</si>
  <si>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</si>
  <si>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</si>
  <si>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</si>
  <si>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</si>
  <si>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</si>
  <si>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</si>
  <si>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</si>
  <si>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</si>
  <si>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</si>
  <si>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</si>
  <si>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</si>
  <si>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</si>
  <si>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</si>
  <si>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</si>
  <si>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</si>
  <si>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</si>
  <si>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</si>
  <si>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</si>
  <si>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</si>
  <si>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</si>
  <si>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</si>
  <si>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</si>
  <si>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</si>
  <si>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</si>
  <si>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</si>
  <si>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</si>
  <si>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</si>
  <si>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</si>
  <si>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</si>
  <si>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</si>
  <si>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</si>
  <si>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</si>
  <si>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</si>
  <si>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</si>
  <si>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</si>
  <si>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</si>
  <si>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</si>
  <si>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</si>
  <si>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</si>
  <si>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</si>
  <si>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</si>
  <si>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</si>
  <si>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</si>
  <si>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</si>
  <si>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</si>
  <si>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</si>
  <si>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</si>
  <si>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</si>
  <si>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</si>
  <si>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</si>
  <si>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</si>
  <si>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</si>
  <si>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</si>
  <si>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</si>
  <si>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</si>
  <si>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</si>
  <si>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</si>
  <si>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</si>
  <si>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</si>
  <si>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</si>
  <si>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</si>
  <si>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</si>
  <si>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</si>
  <si>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</si>
  <si>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</si>
  <si>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</si>
  <si>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</si>
  <si>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</si>
  <si>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</si>
  <si>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</si>
  <si>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</si>
  <si>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</si>
  <si>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</si>
  <si>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</si>
  <si>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</si>
  <si>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</si>
  <si>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</si>
  <si>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</si>
  <si>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</si>
  <si>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</si>
  <si>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</si>
  <si>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</si>
  <si>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</si>
  <si>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</si>
  <si>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</si>
  <si>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</si>
  <si>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</si>
  <si>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</si>
  <si>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</si>
  <si>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</si>
  <si>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</si>
  <si>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</si>
  <si>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</si>
  <si>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</si>
  <si>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</si>
  <si>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</si>
  <si>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</si>
  <si>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</si>
  <si>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</si>
  <si>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</si>
  <si>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</si>
  <si>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</si>
  <si>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</si>
  <si>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</si>
  <si>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</si>
  <si>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</si>
  <si>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</si>
  <si>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</si>
  <si>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</si>
  <si>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</si>
  <si>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</si>
  <si>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</si>
  <si>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</si>
  <si>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</si>
  <si>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</si>
  <si>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</si>
  <si>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</si>
  <si>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</si>
  <si>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</si>
  <si>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</si>
  <si>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</si>
  <si>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</si>
  <si>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Expansão</t>
  </si>
  <si>
    <t>2ª</t>
  </si>
  <si>
    <t>Saúde e bem-estar na palma da sua mão</t>
  </si>
  <si>
    <t>Pós-lançamento (Stakeholders internos)</t>
  </si>
  <si>
    <t>Lançamento (Stakeholders internos)</t>
  </si>
  <si>
    <t>Data Início</t>
  </si>
  <si>
    <t>Data Fim</t>
  </si>
  <si>
    <t>DEFINIÇÃO DE OBJETIVOS DO PROJETO</t>
  </si>
  <si>
    <t>FORMAÇÃO DA EQUIPE DE DESIGN E DESENVOLVIMENTO</t>
  </si>
  <si>
    <t>IDENTIFICAÇÃO DE FUNCIONALIDADES E RECURSOS</t>
  </si>
  <si>
    <t>IDENTIFICAÇÃO DE STAKEHOLDERS</t>
  </si>
  <si>
    <t>ANÁLISE DE OPORTUNIDADES DE NOVOS SEGMENTOS</t>
  </si>
  <si>
    <t xml:space="preserve">IMPLEMENTAÇÃO DE APP MOBILE </t>
  </si>
  <si>
    <t>COLETA DE FEEDBACKS</t>
  </si>
  <si>
    <t xml:space="preserve">IMPLEMENTAÇÃO DE MELHORIAS CONTÍNUAS </t>
  </si>
  <si>
    <t>ADAPTAÇÃO  AO MERCADO</t>
  </si>
  <si>
    <t>MONITORAÇÃO DE MÉTRICAS DE USO DO DASHBOARD</t>
  </si>
  <si>
    <t xml:space="preserve">REALIZAÇÃO DE ATUALIZAÇÕES </t>
  </si>
  <si>
    <t>SUPORTE E SOLUÇÃO PARA STAKHOLDERS</t>
  </si>
  <si>
    <t>ATIVAÇÃO DO DASHBOARD EM PRODUÇÃO</t>
  </si>
  <si>
    <t xml:space="preserve">MONITORAMENTO NAS PRIMEIRAS HORAS DE USO </t>
  </si>
  <si>
    <t xml:space="preserve">SUPORTE INICIAL </t>
  </si>
  <si>
    <t>REUNIÃO DE ALINHAMENTO COM STAKEHOLDERS</t>
  </si>
  <si>
    <t>ANÁLISE DE MERCADO</t>
  </si>
  <si>
    <t>LEVANTAMENTO DE REQUISITOS</t>
  </si>
  <si>
    <t xml:space="preserve"> DOCUMENTAÇÃO DE REQUISITOS FUNCIONAIS</t>
  </si>
  <si>
    <t>DOCUMENTAÇÃO DE REQUISITOS NÃO FUNCIONAIS</t>
  </si>
  <si>
    <t>IDENTIFICAÇÃO DO CAMINHO CRÍTICO</t>
  </si>
  <si>
    <t>PLANEJAMENTO DE SEGURANÇA E LGPD</t>
  </si>
  <si>
    <t>DEFINIR PALETA DE CORES E TIPOGRAFIA</t>
  </si>
  <si>
    <t xml:space="preserve"> REALIZAR O DESIGN DA INTERFACE DO USUÁRIO(UI)</t>
  </si>
  <si>
    <t>CRIAR ÍCONES E ELEMENTOS VISUAIS</t>
  </si>
  <si>
    <t>GARANTIR CONSISTÊNCIA VISUAL</t>
  </si>
  <si>
    <t>CRIAÇÃO DE PROTÓTIPO INTERATIVO</t>
  </si>
  <si>
    <t xml:space="preserve"> EXPERIÊNCIA DO USUÁRIO (UX)</t>
  </si>
  <si>
    <t>DEFINIÇÃO DE PERSONAS</t>
  </si>
  <si>
    <t>GARANTIR ACESSIBILIDADE E USABILIDADE</t>
  </si>
  <si>
    <t>MAPEAR JORNADA DO USUÁRIO</t>
  </si>
  <si>
    <t>VALIDAÇÃO INICIAL COM STAKEHOLDERS</t>
  </si>
  <si>
    <t>PREPARAÇÃO DO AMBIENTE</t>
  </si>
  <si>
    <t>CONFIGURAÇÃO DE REPOSITÓRIO GITHUB</t>
  </si>
  <si>
    <t>DEFINIÇÃO DO AMBIENTE DE HOSPEDAGEM</t>
  </si>
  <si>
    <t>INSTALAÇÃO DO ETL E BI</t>
  </si>
  <si>
    <t>CÓDIGO FRONT-END</t>
  </si>
  <si>
    <t>ESTRUTURAÇÃO INICIAL DE INTERFACE</t>
  </si>
  <si>
    <t>IMPLEMENTAÇÃO DE KPIs PRINCIPAIS</t>
  </si>
  <si>
    <t>CRIAÇÃO DE GRÁFICOS INTERATIVOS</t>
  </si>
  <si>
    <t>DESENVOLVIMENTO DE FILTROS DINÂMICOS</t>
  </si>
  <si>
    <t>EXPORTAÇÃO DE RELATÓRIOS</t>
  </si>
  <si>
    <t>CÓDIGO BACK-END</t>
  </si>
  <si>
    <t>ESTRUTURAÇÃO DO BANCO DE DADOS</t>
  </si>
  <si>
    <t>CRIAÇÃO DE APIs PARA INTEGRAÇÃO FRONT-END</t>
  </si>
  <si>
    <t xml:space="preserve">IMPLEMENTAÇÃO DE AUTENTICAÇÃO DE PERFIS DE ACESSO </t>
  </si>
  <si>
    <t>IMPLEMENTAÇÃO DO PROCESSO ETL</t>
  </si>
  <si>
    <t>EXTRAÇÃO DE DADOS</t>
  </si>
  <si>
    <t>TRANSFORMAÇÃO E LIMPEZA DOS DADOS</t>
  </si>
  <si>
    <t>DESENVOLVER PRINCIPAIS MÓDULOS DE IA</t>
  </si>
  <si>
    <t>DESENVOLVIMENTO DE FAQ INTERATIVO</t>
  </si>
  <si>
    <t>DEFINIÇÃO DAS PERGUNTAS FREQUENTES (FAQ)</t>
  </si>
  <si>
    <t>TREINAMENTO DO CHATBOT COM AS RESPOSTAS</t>
  </si>
  <si>
    <t>INTEGRAÇÃO AO DASHBOARD (WEB OU APP)</t>
  </si>
  <si>
    <t xml:space="preserve">Integração </t>
  </si>
  <si>
    <t xml:space="preserve">INTEGRAÇÃO DE FONTES DE DADOS </t>
  </si>
  <si>
    <t xml:space="preserve">GARANTIR A SEGURANÇA E PRIVACIDADE </t>
  </si>
  <si>
    <t>SINCRONIZAÇÃO DE DADOS NO BANCO PRINCIPAL</t>
  </si>
  <si>
    <t>TESTES UNITÁRIOS</t>
  </si>
  <si>
    <t>DEFINIÇÃO DE CENÁRIOS DE TESTE</t>
  </si>
  <si>
    <t>REGISTROS DE RESULTADOS EM RELATÓRIOS DE TESTES</t>
  </si>
  <si>
    <t>CORREÇÃO DE BUGS IDENTIFICADOS</t>
  </si>
  <si>
    <t>TESTES DE USABILIDADE</t>
  </si>
  <si>
    <t xml:space="preserve">APLICAÇÃO DE TESTES PILOTO COM USUÁRIOS </t>
  </si>
  <si>
    <t>COLETA DE FEEDBACK SOBRE NAVEGAÇÃO</t>
  </si>
  <si>
    <t>VALIDAÇÃO DE RESPONSIVIDADE</t>
  </si>
  <si>
    <t>PREPARAÇÃO DE AMBIENTE DE HOMOLOGAÇÃO</t>
  </si>
  <si>
    <t>DEMONSTRAÇÃO DO DASHBOARD PARA O CLIENTE</t>
  </si>
  <si>
    <t>AJUSTES FINAIS E LIBERAÇÃO PARA PRODUÇÃO</t>
  </si>
  <si>
    <t>PESSOAS + SOFTWARE</t>
  </si>
  <si>
    <t>PESSOAS</t>
  </si>
  <si>
    <t>PESSOAS + SOFTWARE + HADWARE</t>
  </si>
  <si>
    <t>PESSOAS + FERRAMENTAS</t>
  </si>
  <si>
    <t>SOFTWARE + SERVIDORES</t>
  </si>
  <si>
    <t>DEFINIÇÃO DOS OBJETIVOS DO PROJETO</t>
  </si>
  <si>
    <t>FORMAÇÃO DA EQUIPE DO PROJETO</t>
  </si>
  <si>
    <t>IDENTIFICAÇÃO DOS STAKEHOLDERS</t>
  </si>
  <si>
    <t>REUNIÃO DE KICK-OFF</t>
  </si>
  <si>
    <t>ENTREVISTAS COM CANNOLI E RESTAURANTES</t>
  </si>
  <si>
    <t>DOCUMENTAÇÃO DE REQUISITOS FUNCIONAIS</t>
  </si>
  <si>
    <t>DEFINIÇÃO DO ESCOPO DETALHADO (LIMITES, PREMISSAS, RESTRIÇÕES)</t>
  </si>
  <si>
    <t>CRONOGRAMA E MARCOS DO PROJETO</t>
  </si>
  <si>
    <t>UX – EXPERIÊNCIA DO USUÁRIO</t>
  </si>
  <si>
    <t>DEFINIÇÃO DE PERSONAS (ADMIN / RESTAURANTE)</t>
  </si>
  <si>
    <t>JORNADA DO USUÁRIO</t>
  </si>
  <si>
    <t>UI – INTERFACE DO USUÁRIO</t>
  </si>
  <si>
    <t>DEFINIÇÃO DE PALETA DE CORES E TIPOGRAFIA</t>
  </si>
  <si>
    <t>CRIAÇÃO DE WIREFRAMES</t>
  </si>
  <si>
    <t>PROTÓTIPO INTERATIVO (FIGMA)</t>
  </si>
  <si>
    <t>CONFIGURAÇÃO DE REPOSITÓRIO</t>
  </si>
  <si>
    <t>CONFIGURAÇÃO DO BANCO DE DADOS E NUVEM</t>
  </si>
  <si>
    <t>BACK-END</t>
  </si>
  <si>
    <t>IMPLEMENTAÇÃO DO ETL (EXTRAÇÃO → TRANSFORMAÇÃO → CARGA)</t>
  </si>
  <si>
    <t>CRIAÇÃO DE APIS DE INTEGRAÇÃO</t>
  </si>
  <si>
    <t>AUTENTICAÇÃO E PERFIS DE ACESSO</t>
  </si>
  <si>
    <t>FRONT-END</t>
  </si>
  <si>
    <t>DASHBOARD RESPONSIVO</t>
  </si>
  <si>
    <t>KPIS E GRÁFICOS INTERATIVOS</t>
  </si>
  <si>
    <t>FILTROS DINÂMICOS</t>
  </si>
  <si>
    <t>EXPORTAÇÃO DE RELATÓRIOS (PDF, EXCEL, CSV)</t>
  </si>
  <si>
    <t>INTELIGÊNCIA ARTIFICIAL / MACHINE LEARNING</t>
  </si>
  <si>
    <t>ANÁLISE DE PADRÕES E ALERTAS</t>
  </si>
  <si>
    <t>SUGESTÕES AUTOMÁTICAS</t>
  </si>
  <si>
    <t>FAQ COM CHATBOT</t>
  </si>
  <si>
    <t>DEFINIÇÃO DE PERGUNTAS FREQUENTES</t>
  </si>
  <si>
    <t>TREINAMENTO DO CHATBOT</t>
  </si>
  <si>
    <t>INTEGRAÇÃO COM O DASHBOARD</t>
  </si>
  <si>
    <t>INTEGRAÇÃO GERAL</t>
  </si>
  <si>
    <t>CONEXÃO FRONT-END + BACK-END</t>
  </si>
  <si>
    <t>ATUALIZAÇÃO EM TEMPO REAL (OU SIMULAÇÃO)</t>
  </si>
  <si>
    <t>TESTES UNITÁRIOS (CÓDIGO E MÓDULOS)</t>
  </si>
  <si>
    <t>TESTES INTEGRADOS (ETL + DASHBOARD + CHATBOT)</t>
  </si>
  <si>
    <t>TESTES DE SEGURANÇA (LGPD, CRIPTOGRAFIA, LOGIN)</t>
  </si>
  <si>
    <t>TESTES DE USABILIDADE E RESPONSIVIDADE</t>
  </si>
  <si>
    <t>HOMOLOGAÇÃO COM A CANNOLI</t>
  </si>
  <si>
    <t>VALIDAÇÃO COM RESTAURANTES PARCEIROS</t>
  </si>
  <si>
    <t>TREINAMENTO DE STAKEHOLDERS</t>
  </si>
  <si>
    <t>DEPLOY DA SOLUÇÃO NA NUVEM</t>
  </si>
  <si>
    <t>ENTREGA OFICIAL DA SOLUÇÃO</t>
  </si>
  <si>
    <t>COLETA DE FEEDBACK INICIAL</t>
  </si>
  <si>
    <t>RELATÓRIO FINAL DO PROJETO</t>
  </si>
  <si>
    <t>DOCUMENTAÇÃO COMPLETA</t>
  </si>
  <si>
    <t>AVALIAÇÃO DE RESULTADOS</t>
  </si>
  <si>
    <t>Pessoas + software</t>
  </si>
  <si>
    <t>Pessoas + software + hardware</t>
  </si>
  <si>
    <t>Duração em dias</t>
  </si>
  <si>
    <t>1A</t>
  </si>
  <si>
    <t>2B</t>
  </si>
  <si>
    <t>1C</t>
  </si>
  <si>
    <t>1D</t>
  </si>
  <si>
    <t>1B</t>
  </si>
  <si>
    <t>2A</t>
  </si>
  <si>
    <t>2C</t>
  </si>
  <si>
    <t>2D</t>
  </si>
  <si>
    <t>2E</t>
  </si>
  <si>
    <t>2F</t>
  </si>
  <si>
    <t>2G</t>
  </si>
  <si>
    <t>3A</t>
  </si>
  <si>
    <t>3B</t>
  </si>
  <si>
    <t>3C</t>
  </si>
  <si>
    <t>3D</t>
  </si>
  <si>
    <t>3E</t>
  </si>
  <si>
    <t>3F</t>
  </si>
  <si>
    <t>3G</t>
  </si>
  <si>
    <t>3H</t>
  </si>
  <si>
    <t>3I</t>
  </si>
  <si>
    <t>3J</t>
  </si>
  <si>
    <t>4A</t>
  </si>
  <si>
    <t>4B</t>
  </si>
  <si>
    <t>4C</t>
  </si>
  <si>
    <t>4D</t>
  </si>
  <si>
    <t>4E</t>
  </si>
  <si>
    <t>4F</t>
  </si>
  <si>
    <t>4G</t>
  </si>
  <si>
    <t>4H</t>
  </si>
  <si>
    <t>4I</t>
  </si>
  <si>
    <t>4J</t>
  </si>
  <si>
    <t>4K</t>
  </si>
  <si>
    <t>4L</t>
  </si>
  <si>
    <t>4M</t>
  </si>
  <si>
    <t>4N</t>
  </si>
  <si>
    <t>4O</t>
  </si>
  <si>
    <t>4P</t>
  </si>
  <si>
    <t>4Q</t>
  </si>
  <si>
    <t>4R</t>
  </si>
  <si>
    <t>4S</t>
  </si>
  <si>
    <t>4T</t>
  </si>
  <si>
    <t>4U</t>
  </si>
  <si>
    <t>4V</t>
  </si>
  <si>
    <t>4W</t>
  </si>
  <si>
    <t>5A</t>
  </si>
  <si>
    <t>5B</t>
  </si>
  <si>
    <t>5C</t>
  </si>
  <si>
    <t>6A</t>
  </si>
  <si>
    <t>6B</t>
  </si>
  <si>
    <t>6C</t>
  </si>
  <si>
    <t>6D</t>
  </si>
  <si>
    <t>6E</t>
  </si>
  <si>
    <t>6F</t>
  </si>
  <si>
    <t>6G</t>
  </si>
  <si>
    <t>6H</t>
  </si>
  <si>
    <t>6I</t>
  </si>
  <si>
    <t>6J</t>
  </si>
  <si>
    <t>6K</t>
  </si>
  <si>
    <t>6L</t>
  </si>
  <si>
    <t>7A</t>
  </si>
  <si>
    <t>7B</t>
  </si>
  <si>
    <t>7C</t>
  </si>
  <si>
    <t>7D</t>
  </si>
  <si>
    <t>8A</t>
  </si>
  <si>
    <t>8B</t>
  </si>
  <si>
    <t>8C</t>
  </si>
  <si>
    <t>9A</t>
  </si>
  <si>
    <t>9B</t>
  </si>
  <si>
    <t>9C</t>
  </si>
  <si>
    <t>10A</t>
  </si>
  <si>
    <t>10B</t>
  </si>
  <si>
    <t>2B,2C,2D</t>
  </si>
  <si>
    <t>3ª</t>
  </si>
  <si>
    <t>DEFINIR A ESTRUTURA DO SITE</t>
  </si>
  <si>
    <t>4ª</t>
  </si>
  <si>
    <t>DEFINIÇÃO DE PROTOCOLOS DE PRIVACIDADE (DADOS)</t>
  </si>
  <si>
    <t>Entregas do Projeto</t>
  </si>
  <si>
    <t xml:space="preserve">A definir </t>
  </si>
  <si>
    <t>Atulizado Em</t>
  </si>
  <si>
    <t>SAM</t>
  </si>
  <si>
    <t>SRM</t>
  </si>
  <si>
    <t>Stakeholder</t>
  </si>
  <si>
    <t>Objetivos</t>
  </si>
  <si>
    <t>Metas</t>
  </si>
  <si>
    <t xml:space="preserve">Motivações e Interesses </t>
  </si>
  <si>
    <t>Poder e influência</t>
  </si>
  <si>
    <t>Importância e
Impacto</t>
  </si>
  <si>
    <t>Papéis &amp; Responsabilidades</t>
  </si>
  <si>
    <t>Sintonia "fina"</t>
  </si>
  <si>
    <t>Área de Interesse</t>
  </si>
  <si>
    <t>Nível de Detalhe</t>
  </si>
  <si>
    <t>Formato</t>
  </si>
  <si>
    <t>Frequência</t>
  </si>
  <si>
    <t>Mecanismo de Entrega</t>
  </si>
  <si>
    <t>Cliente (Usuários Finais) Cannoli</t>
  </si>
  <si>
    <t xml:space="preserve">Ter visibilidade das ações de marketing implementadas </t>
  </si>
  <si>
    <t>Controle total de ações e impactos nos consuidores</t>
  </si>
  <si>
    <t>Clareza nas informações</t>
  </si>
  <si>
    <t>Influenciam o sucesso do dashboard por meio do uso e feedback.</t>
  </si>
  <si>
    <t>Cruciais para a aceitação e popularidade do dashboard.</t>
  </si>
  <si>
    <t>Usar o dashboard, fornecer feedback, compartilhar experiências.</t>
  </si>
  <si>
    <t>Garantir que o dashboard atenda às suas necessidades.</t>
  </si>
  <si>
    <t>Relatórios sobre atualizações de recursos, melhorias com base no feedback dos usuários, dicas de uso do aplicativo.</t>
  </si>
  <si>
    <t>Relatórios concisos e informativos, destacando as principais entregas.</t>
  </si>
  <si>
    <t>Comunicar funções do produto via apresentação</t>
  </si>
  <si>
    <t>Entrega única</t>
  </si>
  <si>
    <t>Product Owner</t>
  </si>
  <si>
    <t>Desenvolver um aplicativo bem-sucedido que atenda às necessidades da Cannoli.</t>
  </si>
  <si>
    <t>Entrega de dashboard funcional que atenda as necessiades de controle da Cannoli</t>
  </si>
  <si>
    <t>Inovação na exposição de dados.</t>
  </si>
  <si>
    <t>Determina a direção e as prioridades do desenvolvimento.</t>
  </si>
  <si>
    <t>Fundamental para o sucesso do aplicativo.</t>
  </si>
  <si>
    <t>Definir a visão do produto, priorizar recursos, tomar decisões estratégicas.</t>
  </si>
  <si>
    <t>Alinhar o desenvolvimento com as necessidades das entregas.</t>
  </si>
  <si>
    <t>Relatórios de desempenho do aplicativo, métricas-chave, status do desenvolvimento.</t>
  </si>
  <si>
    <t>Relatórios detalhados com métricas específicas e análise de tendências.</t>
  </si>
  <si>
    <t>Reuniões semanal de revisão de entregas.</t>
  </si>
  <si>
    <t>Dailys durante a sprint e as demais reuniões do scrum.</t>
  </si>
  <si>
    <t>Reuniões remotas, e presenciais e manutenção do github board.</t>
  </si>
  <si>
    <t>Desenvolvedores</t>
  </si>
  <si>
    <t>Criar um da funcional e confiável.</t>
  </si>
  <si>
    <t xml:space="preserve">Criar a ferramenta e garantir a boa funcionalidade da mesma </t>
  </si>
  <si>
    <t>Desenvolvimento de dashboard e pipelines de dados.</t>
  </si>
  <si>
    <t>Impactam diretamente na definição de tecnologias implementadas no produto.</t>
  </si>
  <si>
    <t>Contribuem para a usabilidade e confiabilidade do dashboard.</t>
  </si>
  <si>
    <t>Escrever código, realizar testes, resolver problemas técnicos.</t>
  </si>
  <si>
    <t>Colaboração eficaz com o Product Owner para implementar recursos necessários com sucesso.</t>
  </si>
  <si>
    <t>Atualizações de prioridades de desenvolvimento, correções de bugs, novos recursos planejados.</t>
  </si>
  <si>
    <t>Comunicados claros e específicos sobre o que precisa ser desenvolvido.</t>
  </si>
  <si>
    <t>Alinhamentos semanais de sprint com a equipe de desenvolvimento e produto.</t>
  </si>
  <si>
    <t>Reuniões virtuais, quadro de tarefas online no github.</t>
  </si>
  <si>
    <t>Restaurantes Parceiros</t>
  </si>
  <si>
    <t>Ter relatórios claros e confiaveis para auxiliar na tomada de decisão e gestão</t>
  </si>
  <si>
    <t>Mensurar com precisão as interações dos clietes (visitas, compras) e ter acesso transparente aos dados.</t>
  </si>
  <si>
    <t>Melhorar a gestão do negócio e entender o comportamento dos consumidores para aumentar a competitividade.</t>
  </si>
  <si>
    <t>São os usuários finais e fornecedores de dados.</t>
  </si>
  <si>
    <t>Solução é criada para atender as suas necessidades. A satisfação deles valida o sucesso do projeto.</t>
  </si>
  <si>
    <t>Utilizar os relatórios para avaliar o impacto da aplicação.</t>
  </si>
  <si>
    <t>Benefício da ferramenta, como usar o dash e fomo fornecer informações complementares.</t>
  </si>
  <si>
    <t>Direto, claro e focado no uso do dashboard</t>
  </si>
  <si>
    <t>Manuais e treinamentos.</t>
  </si>
  <si>
    <t>conforme às entregas definidas</t>
  </si>
  <si>
    <t>Via web.</t>
  </si>
  <si>
    <t>Patrocinadores</t>
  </si>
  <si>
    <t>Garantir que o projeto seja entregue com sucesso e que o investimento seja bem utilizado</t>
  </si>
  <si>
    <t>Ver o projeto sendo entregue conforme o planejado.</t>
  </si>
  <si>
    <t>Sucesso da solução e potencial futuro.</t>
  </si>
  <si>
    <t>Fornecem os recursos financeiros.</t>
  </si>
  <si>
    <t>Apoio na contrução de estruturas físicas de apresentação do projeto.</t>
  </si>
  <si>
    <t>Prover recursos.</t>
  </si>
  <si>
    <t>Validar retorno conforme as expectativas iniciais.</t>
  </si>
  <si>
    <t>Status geral do projeto.</t>
  </si>
  <si>
    <t>Avaliação de KPIs</t>
  </si>
  <si>
    <t>Apresentação de Status</t>
  </si>
  <si>
    <t>Mensal/ a cada entrega.</t>
  </si>
  <si>
    <t>Reuniões virtuais e ou presenciais.</t>
  </si>
  <si>
    <t>2B,2E,2F,2G</t>
  </si>
  <si>
    <t>3H,3F,3E</t>
  </si>
  <si>
    <t>3E,2G</t>
  </si>
  <si>
    <t>4L,4M</t>
  </si>
  <si>
    <t>5ª</t>
  </si>
  <si>
    <t>6ª</t>
  </si>
  <si>
    <t>7ª</t>
  </si>
  <si>
    <t>8ª</t>
  </si>
  <si>
    <t>9ª</t>
  </si>
  <si>
    <t>10ª</t>
  </si>
  <si>
    <t>4W,4F,4L</t>
  </si>
  <si>
    <t>5A,5B</t>
  </si>
  <si>
    <t>1E</t>
  </si>
  <si>
    <t>5D</t>
  </si>
  <si>
    <t>5E</t>
  </si>
  <si>
    <t>7E</t>
  </si>
  <si>
    <t>7F</t>
  </si>
  <si>
    <t>4A,4G</t>
  </si>
  <si>
    <t>4I,4J,4K</t>
  </si>
  <si>
    <t>4D,4H</t>
  </si>
  <si>
    <t>4Q,4F,4L</t>
  </si>
  <si>
    <t xml:space="preserve"> HOMOLOGAÇÃO</t>
  </si>
  <si>
    <t>Previsões de Orçamento</t>
  </si>
  <si>
    <t>Saúde e Bem Estar</t>
  </si>
  <si>
    <t>Capa</t>
  </si>
  <si>
    <t>Instruções, Histórico de Alterações e as Aprovações</t>
  </si>
  <si>
    <t>Orçado</t>
  </si>
  <si>
    <t>Detalhamento dos investimentos orçados</t>
  </si>
  <si>
    <t>Realizado</t>
  </si>
  <si>
    <t>Detalhamento dos investimentos realizados</t>
  </si>
  <si>
    <t>Status</t>
  </si>
  <si>
    <t>Status comparando Orçado x Realizado</t>
  </si>
  <si>
    <t>Parâmetros</t>
  </si>
  <si>
    <t>Parâmetros usados nas outras abas da planilha.</t>
  </si>
  <si>
    <t>Fonte</t>
  </si>
  <si>
    <t>https://escritoriodeprojetos.com.br/download/previsoes-do-orcamento/</t>
  </si>
  <si>
    <t>Controle de Versões</t>
  </si>
  <si>
    <t>Versão</t>
  </si>
  <si>
    <t>Data</t>
  </si>
  <si>
    <t>Autor</t>
  </si>
  <si>
    <t>Notas da Revisão</t>
  </si>
  <si>
    <t>Instruções</t>
  </si>
  <si>
    <t>Ref.</t>
  </si>
  <si>
    <t>Aba</t>
  </si>
  <si>
    <t>Respons</t>
  </si>
  <si>
    <t>Passos</t>
  </si>
  <si>
    <t>Param</t>
  </si>
  <si>
    <t>PMO</t>
  </si>
  <si>
    <t>Entre com o Custo do Capital</t>
  </si>
  <si>
    <t>Gerente de Projetos</t>
  </si>
  <si>
    <t>Preencher as informações de identificação do projeto (Nome, Solicitante e Patrocionador)</t>
  </si>
  <si>
    <t>Preencher na coluna B o nome de cada Gasto (B7, B10, ...). No máximo 5, caso tiver mais de 5 agrupar os benefícios ou ajustar planilha. Veja na Aba Param - Coluna C - Tipos de gastos comuns em projetos</t>
  </si>
  <si>
    <t>Sempre que possível, esclareça como foi calculado o valor dos gastos (C7, C10, ...)</t>
  </si>
  <si>
    <t>Entrar com o valor dos gastos por ano (D9..M21), se preferir, entre com o valor do crescimento por ano (D8..M20) para todos os gastos</t>
  </si>
  <si>
    <t>Preenche na coluna B o nome dos custos (B29, B30)</t>
  </si>
  <si>
    <t>Sempre que possível, esclareça como foi calculado o valor dos custos (C29, C30)</t>
  </si>
  <si>
    <t>Entrar com o valor dos custos por ano (D27..M31)</t>
  </si>
  <si>
    <t>Entre com o valor realizado mês a mês. Caso não necessitar registrar os detalhes, pode incluir o valor total na linha 39 [Investimento total]</t>
  </si>
  <si>
    <t>Aprovações</t>
  </si>
  <si>
    <t>Participante</t>
  </si>
  <si>
    <t>Assinatura</t>
  </si>
  <si>
    <t>ROI</t>
  </si>
  <si>
    <t xml:space="preserve">Payback </t>
  </si>
  <si>
    <t>NPV/VPL</t>
  </si>
  <si>
    <t>Indicadores Financeiros</t>
  </si>
  <si>
    <t>Outros custos</t>
  </si>
  <si>
    <t>Custo</t>
  </si>
  <si>
    <t>Custos de Treinamento</t>
  </si>
  <si>
    <t>Custo da Operação</t>
  </si>
  <si>
    <t>Custo de Implementação</t>
  </si>
  <si>
    <t>Investimentos</t>
  </si>
  <si>
    <t>Feedback e adapção</t>
  </si>
  <si>
    <t>Taxa de crescimento de investimento de 10% ao mês MOM</t>
  </si>
  <si>
    <t>Taxa de Crescimento de 10%</t>
  </si>
  <si>
    <t>Todo processo de marketing e divulgação.</t>
  </si>
  <si>
    <t xml:space="preserve">Marketing e Divulgação - para o Mercado </t>
  </si>
  <si>
    <t>Tudo que tange o pós lançamento.</t>
  </si>
  <si>
    <t>Tudo que tange aos stakeholders</t>
  </si>
  <si>
    <t>Verificar as funcionalidades, realizar testes e possíveis correções</t>
  </si>
  <si>
    <t>Teste</t>
  </si>
  <si>
    <t xml:space="preserve">Foco na segurança e integração da plataforma. </t>
  </si>
  <si>
    <t>Desenvolvimento do frontend, backend e todo processo de desenvolvimento.</t>
  </si>
  <si>
    <t>Todo processo que compete ao desenvolvimento da funcionalidade em sua camada de Wire, Layout, experiência, ou seja, UX.</t>
  </si>
  <si>
    <t>Tudo que tange o mapeamento inicial do planejamento, como plano de exercicio e requisitos, mapas de academias e parques e afins.</t>
  </si>
  <si>
    <t>Gasto referente ao start do projeto, desde o estudo, mapeamento de funcionalidade e formação de time</t>
  </si>
  <si>
    <t>Para facilitar o cálculo do gasto baseado em uma taxa de crescimento.</t>
  </si>
  <si>
    <t>Investimento c/ taxa de crescimento</t>
  </si>
  <si>
    <t>Explicação</t>
  </si>
  <si>
    <t>Investimento Acumulado</t>
  </si>
  <si>
    <t>Investimento inicial Total</t>
  </si>
  <si>
    <t>Patrocinador</t>
  </si>
  <si>
    <t>Nome do Projeto</t>
  </si>
  <si>
    <t>Mês</t>
  </si>
  <si>
    <t>Identificação do Projeto</t>
  </si>
  <si>
    <t>Investimento Total</t>
  </si>
  <si>
    <t>Saldo Final</t>
  </si>
  <si>
    <t>Diferença dos realizados</t>
  </si>
  <si>
    <t>Desvio %</t>
  </si>
  <si>
    <t>Desvio (R$)</t>
  </si>
  <si>
    <t>Acumulado (R$)</t>
  </si>
  <si>
    <t>No Período (R$)</t>
  </si>
  <si>
    <t>Períodos</t>
  </si>
  <si>
    <t>Cannoli</t>
  </si>
  <si>
    <t>Mês de início</t>
  </si>
  <si>
    <t>PI ADS4 - 2025</t>
  </si>
  <si>
    <t>Nome do projeto</t>
  </si>
  <si>
    <t>Projeto</t>
  </si>
  <si>
    <t>Parametros a serem configurados inicialmente</t>
  </si>
  <si>
    <t>Redução dos custos</t>
  </si>
  <si>
    <t>Redução das reclamações dos clientes</t>
  </si>
  <si>
    <t>Redução dos custos da não qualidade</t>
  </si>
  <si>
    <t>Redução de retrabalho</t>
  </si>
  <si>
    <t>Redução do Turn-over</t>
  </si>
  <si>
    <t>Aumento da Capacidade Produtiva</t>
  </si>
  <si>
    <t>Aumento de Produtividade</t>
  </si>
  <si>
    <t>Aumento de Receita</t>
  </si>
  <si>
    <t>Domínio ou Valor</t>
  </si>
  <si>
    <t>Retorno Requerido do Investimento</t>
  </si>
  <si>
    <t>Custo do Capital</t>
  </si>
  <si>
    <t>Tipo de Benefício</t>
  </si>
  <si>
    <t>Variável</t>
  </si>
  <si>
    <t>Provoca instabilidade no desenvolvimento. Implantar controle de versionamento e processo formal de gestão de mudanças (change request).</t>
  </si>
  <si>
    <t>Pode causar desalinhamento de expectativas e decisões incorretas. Reavaliar a matriz de stakeholders e atualizar periodicamente.</t>
  </si>
  <si>
    <t>O risco envolve exposição de informações sensíveis e violações à LGPD. Exige medidas imediatas como criptografia de dados, revisão de políticas de privacidade e treinamento da equipe.</t>
  </si>
  <si>
    <t>Exige revisão de código, aplicação de WAF e monitoramento contínuo. Implementar varreduras automáticas de vulnerabilidade.</t>
  </si>
  <si>
    <t>Afeta diretamente a continuidade do sistema. É importante definir redundância e planos de contingência (multi-cloud ou backups offline).</t>
  </si>
  <si>
    <t>O chatbot pode vazar dados pessoais se não houver filtragem e anonimização. Reforçar logs, revisão de prompts e uso de máscaras de dados.</t>
  </si>
  <si>
    <t>APIs expostas sem controle de acesso são portas de entrada para ataques. Implementar tokens seguros (OAuth2), revisão de endpoints e testes de penetração.</t>
  </si>
  <si>
    <t>A ausência de plano estruturado prejudica a conformidade e resposta a incidentes. É necessário criar um plano de segurança formal e designar um responsável (DPO).</t>
  </si>
  <si>
    <t>Falhas na autenticação podem permitir acesso indevido a dados e sistemas. Recomenda-se aplicar autenticação multifator (MFA) e revisão de permissões de usuários.</t>
  </si>
  <si>
    <t>Falhas no escopo levam atrasos e o aumento de custos. Reforçar análise de requisitos e controle de mudanças.</t>
  </si>
  <si>
    <t>Histórico da avaliação de riscos</t>
  </si>
  <si>
    <t>Data da avaliação</t>
  </si>
  <si>
    <t>Kaique Neres de Oliveira</t>
  </si>
  <si>
    <t>Gerente Responsável</t>
  </si>
  <si>
    <t>Calogic</t>
  </si>
  <si>
    <t>Informações sobre o projeto</t>
  </si>
  <si>
    <t>R20</t>
  </si>
  <si>
    <t>R19</t>
  </si>
  <si>
    <t>R18</t>
  </si>
  <si>
    <t>R17</t>
  </si>
  <si>
    <t>R16</t>
  </si>
  <si>
    <t>R15</t>
  </si>
  <si>
    <t>R14</t>
  </si>
  <si>
    <t>R13</t>
  </si>
  <si>
    <t>R12</t>
  </si>
  <si>
    <t>R11</t>
  </si>
  <si>
    <t>Reverter versão anterior (rollback); ajustar documentação técnica.</t>
  </si>
  <si>
    <t>Implantar processo formal de controle de mudanças (Change Management).</t>
  </si>
  <si>
    <t>Mitigar</t>
  </si>
  <si>
    <t>O que acarretaria atrasos e instabilidades.</t>
  </si>
  <si>
    <t>Pode ocorrer atraso no desenvolvimento.</t>
  </si>
  <si>
    <t>Como resultado da falta de gestão de mudanças.</t>
  </si>
  <si>
    <t>GMUD</t>
  </si>
  <si>
    <t>Validação</t>
  </si>
  <si>
    <t>R10</t>
  </si>
  <si>
    <t>Realinhar expectativas; reforçar comunicação e demonstrar entregas.</t>
  </si>
  <si>
    <t>Promover reuniões e relatórios periódicos; manter comunicação transparente.</t>
  </si>
  <si>
    <t>Aceitar</t>
  </si>
  <si>
    <t>O que acarretaria desconfiança do produto.</t>
  </si>
  <si>
    <t>Pode ocorrer que os stakeholders se frustem.</t>
  </si>
  <si>
    <t>Como resultado da falta de engajamento dos parceiros.</t>
  </si>
  <si>
    <t>Melhorias contínuas</t>
  </si>
  <si>
    <t>R09</t>
  </si>
  <si>
    <t>Consultar assessoria jurídica; ajustar documentação e avisos legais.</t>
  </si>
  <si>
    <t>Revisar legislação aplicável; aplicar políticas de privacidade.</t>
  </si>
  <si>
    <t>Transferir</t>
  </si>
  <si>
    <t>O que acarretaria violação da LGPD e multas.</t>
  </si>
  <si>
    <t>Pode ocorrer exposição de informações.</t>
  </si>
  <si>
    <t xml:space="preserve">Como resultado da não observação das leis atuais. </t>
  </si>
  <si>
    <t>Legal</t>
  </si>
  <si>
    <t>Segurança</t>
  </si>
  <si>
    <t>R08</t>
  </si>
  <si>
    <t>Suspender versões instáveis; corrigir falhas emergenciais.</t>
  </si>
  <si>
    <t>Adotar ciclos de revisão contínua (sprints); testes automatizados.</t>
  </si>
  <si>
    <t>O que acarretaria baixa satisfação do usuário.</t>
  </si>
  <si>
    <t>Pode ocorrer bugs não tratados e obsoleineidade do sistema.</t>
  </si>
  <si>
    <t>Como resultado de falta de avaliação contínua.</t>
  </si>
  <si>
    <t>Sustentação</t>
  </si>
  <si>
    <t>R07</t>
  </si>
  <si>
    <t>Restaurar sistema a partir do backup mais recente; comunicar usuários sobre indisponibilidade.</t>
  </si>
  <si>
    <t>Implementar backups automáticos e redundantes; testar restauração mensal.</t>
  </si>
  <si>
    <t>O que acarretaria indisponibilidade do sistema.</t>
  </si>
  <si>
    <t>Pode ocorrer comprometimento do sistema.</t>
  </si>
  <si>
    <t xml:space="preserve">Como resultado da falta de redundância e backups. </t>
  </si>
  <si>
    <t xml:space="preserve">Redundância </t>
  </si>
  <si>
    <t>Disponibilidade</t>
  </si>
  <si>
    <t>R06</t>
  </si>
  <si>
    <t>Acionar equipe jurídica; comunicar autoridade competente; corrigir falhas de segurança.</t>
  </si>
  <si>
    <t>Anonimizar dados sensíveis; revisar políticas LGPD.</t>
  </si>
  <si>
    <t>O que acarretaria exposição desses dados pessoais.</t>
  </si>
  <si>
    <t>Pode ocorrer vazamento de dados pessoais.</t>
  </si>
  <si>
    <t>Como resultado da não anonimização de dados.</t>
  </si>
  <si>
    <t>Vazamento</t>
  </si>
  <si>
    <t>R05</t>
  </si>
  <si>
    <t>Revogar acessos suspeitos; revisar logs; aplicar medidas disciplinares.</t>
  </si>
  <si>
    <t>Configurar níveis de permissão; revisar perfis trimestralmente.</t>
  </si>
  <si>
    <t>Evitar</t>
  </si>
  <si>
    <t>O que acarretaria vazamento de dados e vulnerabilidade nos sistemas.</t>
  </si>
  <si>
    <t>Pode ocorrer acesso indevido e ataques.</t>
  </si>
  <si>
    <t>Como resultado da falta de controle de acesso.</t>
  </si>
  <si>
    <t>Vulnerabilidade</t>
  </si>
  <si>
    <t>R04</t>
  </si>
  <si>
    <t>Ativar equipe de resposta rápida; priorizar mitigação e comunicação com stakeholders.</t>
  </si>
  <si>
    <t>Criar e documentar plano de resposta; simular ataques (testes de penetração).</t>
  </si>
  <si>
    <t xml:space="preserve">O que acarretaria aumento da exposição. </t>
  </si>
  <si>
    <t>Pode ocorrer a lentidão da resposta à ataques.</t>
  </si>
  <si>
    <t>Como resultado da ausência de um plano de respostas a incidentes.</t>
  </si>
  <si>
    <t>Ausência</t>
  </si>
  <si>
    <t>R03</t>
  </si>
  <si>
    <t>Bloquear contas comprometidas; restaurar backups; reforçar auditoria de acessos.</t>
  </si>
  <si>
    <t>Implementar autenticação multifator e criptografia; testar vulnerabilidades.</t>
  </si>
  <si>
    <t>Pode ocorrer acesso indevido.</t>
  </si>
  <si>
    <t>Como resultado de não implementação de segurança de autenticação.</t>
  </si>
  <si>
    <t>Falhas</t>
  </si>
  <si>
    <t>R02</t>
  </si>
  <si>
    <t>Baixo - 4</t>
  </si>
  <si>
    <t>Alta - 4</t>
  </si>
  <si>
    <t>Atraso no projeto e aumento nos custos</t>
  </si>
  <si>
    <t xml:space="preserve">Replanejar o cronograma, as tarefas e contratar apoio caso necessário. </t>
  </si>
  <si>
    <t>Realizar reuniões, definir responsabilidades e cronogramas que sigam as datas corretamente.</t>
  </si>
  <si>
    <t>O que acarretaria capacitação para o lançamento do sistema.</t>
  </si>
  <si>
    <t>Pode ocorrer de aumentar os custos e os atrasos, além de acabar com a expectativa do stakeholder.</t>
  </si>
  <si>
    <t>Como resultado da falha da equipe e do gerente do projeto.</t>
  </si>
  <si>
    <t>R01</t>
  </si>
  <si>
    <t>Baixo - 3</t>
  </si>
  <si>
    <t>Moderada - 3</t>
  </si>
  <si>
    <t>Riscos Colaterais</t>
  </si>
  <si>
    <r>
      <t xml:space="preserve">CONSEQUÊNCIA </t>
    </r>
    <r>
      <rPr>
        <sz val="8"/>
        <rFont val="Arial"/>
        <family val="2"/>
      </rPr>
      <t>(Começar a frase com "O que acarretaria ...")</t>
    </r>
  </si>
  <si>
    <r>
      <t xml:space="preserve">RISCO 
</t>
    </r>
    <r>
      <rPr>
        <sz val="8"/>
        <rFont val="Arial"/>
        <family val="2"/>
      </rPr>
      <t>(Começar a frase com "Pode ocorrer ...")</t>
    </r>
  </si>
  <si>
    <r>
      <t xml:space="preserve">CAUSA 
</t>
    </r>
    <r>
      <rPr>
        <sz val="8"/>
        <color indexed="8"/>
        <rFont val="Arial"/>
        <family val="2"/>
      </rPr>
      <t>(Começa a frase com "Como Resultado ...")</t>
    </r>
  </si>
  <si>
    <t>Classificação</t>
  </si>
  <si>
    <t>Recurso</t>
  </si>
  <si>
    <t>Muito Baixo - 2</t>
  </si>
  <si>
    <t>Baixa - 2</t>
  </si>
  <si>
    <t>Severidade 
(X,Y)</t>
  </si>
  <si>
    <t>Plano de Contingência</t>
  </si>
  <si>
    <t>Plano de Prevenção</t>
  </si>
  <si>
    <t>Estratégia de Resposta</t>
  </si>
  <si>
    <t>Resp.</t>
  </si>
  <si>
    <t>Declaração do Risco</t>
  </si>
  <si>
    <t>Fase ou</t>
  </si>
  <si>
    <t>ID</t>
  </si>
  <si>
    <t>Muito Baixo - 1</t>
  </si>
  <si>
    <t>Muito Baixa - 1</t>
  </si>
  <si>
    <t>Impacto</t>
  </si>
  <si>
    <t>Probabilidade</t>
  </si>
  <si>
    <t>Identificação dos Riscos</t>
  </si>
  <si>
    <t>Muito Alta - 0,8</t>
  </si>
  <si>
    <t>Maior que 20% - 2,80</t>
  </si>
  <si>
    <t>Maior que 20% - 1,80</t>
  </si>
  <si>
    <t>Alta - 0,4</t>
  </si>
  <si>
    <t>Entre 10% e 20% - 2,40</t>
  </si>
  <si>
    <t>Entre 10% e 20% - 1,40</t>
  </si>
  <si>
    <t>Moderada - 0,2</t>
  </si>
  <si>
    <t>Entre 5% e 10% - 2,20</t>
  </si>
  <si>
    <t>Entre 5% e 10% - 1,20</t>
  </si>
  <si>
    <t>Baixa - 0,1</t>
  </si>
  <si>
    <t>Menor que 5% - 2,10</t>
  </si>
  <si>
    <t>Menor que 5% - 1,10</t>
  </si>
  <si>
    <t>Muito baixa - 0,05</t>
  </si>
  <si>
    <t>Insignificante - 2,05</t>
  </si>
  <si>
    <t>Insignificante - 1,05</t>
  </si>
  <si>
    <t>Resultado do Impacto 
(X1+X2)</t>
  </si>
  <si>
    <t>(X1*X2)</t>
  </si>
  <si>
    <t>Desvio no Cronograma  
(X2)</t>
  </si>
  <si>
    <t>Aumento no Custo (X1)</t>
  </si>
  <si>
    <r>
      <t xml:space="preserve">CONSEQÜÊNCIA </t>
    </r>
    <r>
      <rPr>
        <sz val="8"/>
        <rFont val="Arial"/>
        <family val="2"/>
      </rPr>
      <t>(Começar a frase com "O que acarretaria ...")</t>
    </r>
  </si>
  <si>
    <t>Prazo</t>
  </si>
  <si>
    <t>Severidade 
(Y,X)</t>
  </si>
  <si>
    <t>Avaliação de Impacto 
(X)</t>
  </si>
  <si>
    <t>Probabilidade do risco virar incidente 
(Y)</t>
  </si>
  <si>
    <t>dias úteis</t>
  </si>
  <si>
    <t>Base Prazo</t>
  </si>
  <si>
    <t>R$</t>
  </si>
  <si>
    <t>Base Custo</t>
  </si>
  <si>
    <t xml:space="preserve">                      Qualificação dos Riscos</t>
  </si>
  <si>
    <t>Mudanças sem controle geram instabilidades no sistema.</t>
  </si>
  <si>
    <t>Comunicação e alinhamentos precisam ser reforçados.</t>
  </si>
  <si>
    <t>Multas e adequações jurídicas.</t>
  </si>
  <si>
    <t>Revisões, correções de bugs e tomar cuidado com a confiança do cliente.</t>
  </si>
  <si>
    <t>Impacto grave, perda de dados sensíveis, pode exigir reconstrução do ambiente.</t>
  </si>
  <si>
    <t>Pode gerar multas por conta da LGPD e retrabalho jurídico.</t>
  </si>
  <si>
    <t>Revisão de permissões, logs e aumento na segurança.</t>
  </si>
  <si>
    <t>Tempo perdido e correções não planejadas.</t>
  </si>
  <si>
    <t>Correção emergencial e exige validação de especialistas.</t>
  </si>
  <si>
    <t>Replanejamento, treinamento e realinhamento com o stakeholder.</t>
  </si>
  <si>
    <t>Observação</t>
  </si>
  <si>
    <r>
      <t xml:space="preserve">Impacto no Cronograma 
</t>
    </r>
    <r>
      <rPr>
        <b/>
        <sz val="8"/>
        <color indexed="10"/>
        <rFont val="Arial"/>
        <family val="2"/>
      </rPr>
      <t>(Colocar qtde. de dias de redução ou atraso no cronograma)</t>
    </r>
  </si>
  <si>
    <r>
      <t xml:space="preserve">Impacto no Custo 
</t>
    </r>
    <r>
      <rPr>
        <b/>
        <sz val="8"/>
        <color indexed="10"/>
        <rFont val="Arial"/>
        <family val="2"/>
      </rPr>
      <t>(Considerar qtde. de horas como unidade de medida, inclusive, a maior ou menor)</t>
    </r>
  </si>
  <si>
    <t>Quantificação dos Riscos</t>
  </si>
  <si>
    <r>
      <t xml:space="preserve">Alternativas para o campo </t>
    </r>
    <r>
      <rPr>
        <b/>
        <sz val="11"/>
        <color rgb="FFFF0000"/>
        <rFont val="Calibri"/>
        <family val="2"/>
      </rPr>
      <t>Tipo de Mensagem</t>
    </r>
    <r>
      <rPr>
        <sz val="11"/>
        <color rgb="FFFF0000"/>
        <rFont val="Calibri"/>
        <family val="2"/>
      </rPr>
      <t xml:space="preserve">: </t>
    </r>
    <r>
      <rPr>
        <sz val="11"/>
        <rFont val="Calibri"/>
        <family val="2"/>
      </rPr>
      <t xml:space="preserve">Relatório executivo, Relatório operacional, Cartilha, Apostila, Prontuário de registros. Arquivo, </t>
    </r>
    <r>
      <rPr>
        <i/>
        <sz val="11"/>
        <rFont val="Calibri"/>
        <family val="2"/>
      </rPr>
      <t>e-Mail</t>
    </r>
    <r>
      <rPr>
        <sz val="11"/>
        <rFont val="Calibri"/>
        <family val="2"/>
      </rPr>
      <t xml:space="preserve">, Correio convencional, Carta registrada, </t>
    </r>
    <r>
      <rPr>
        <i/>
        <sz val="11"/>
        <rFont val="Calibri"/>
        <family val="2"/>
      </rPr>
      <t>Corrier</t>
    </r>
    <r>
      <rPr>
        <sz val="11"/>
        <rFont val="Calibri"/>
        <family val="2"/>
      </rPr>
      <t>, Telefone (</t>
    </r>
    <r>
      <rPr>
        <i/>
        <sz val="11"/>
        <rFont val="Calibri"/>
        <family val="2"/>
      </rPr>
      <t>voice-mail</t>
    </r>
    <r>
      <rPr>
        <sz val="11"/>
        <rFont val="Calibri"/>
        <family val="2"/>
      </rPr>
      <t xml:space="preserve">), Fax, Reunião, Apresentação, Workshop, Memorando (de/para), Jornal, Vídeo (filme VHS, AVI, etc), Quadro de avisos, Painel, Lista de discução, </t>
    </r>
    <r>
      <rPr>
        <i/>
        <sz val="11"/>
        <rFont val="Calibri"/>
        <family val="2"/>
      </rPr>
      <t>Internet</t>
    </r>
    <r>
      <rPr>
        <sz val="11"/>
        <rFont val="Calibri"/>
        <family val="2"/>
      </rPr>
      <t xml:space="preserve"> ou </t>
    </r>
    <r>
      <rPr>
        <i/>
        <sz val="11"/>
        <rFont val="Calibri"/>
        <family val="2"/>
      </rPr>
      <t>Intranet</t>
    </r>
    <r>
      <rPr>
        <sz val="11"/>
        <rFont val="Calibri"/>
        <family val="2"/>
      </rPr>
      <t>, entre outras.</t>
    </r>
  </si>
  <si>
    <t>Elaborado por:Equipe Marketada</t>
  </si>
  <si>
    <t>Gerente do projeto: Kaique Neres</t>
  </si>
  <si>
    <t>Alinhar escopo e investimentos futuros</t>
  </si>
  <si>
    <t>Após cada ciclo de expansão</t>
  </si>
  <si>
    <t>Feedback sobre viabilidade e cronograma</t>
  </si>
  <si>
    <t>Ao final da entrega principal</t>
  </si>
  <si>
    <t>Alta Administração</t>
  </si>
  <si>
    <t>Sala de Reuniões</t>
  </si>
  <si>
    <t>Gerente de Projeto</t>
  </si>
  <si>
    <t>Reunião Estratégica</t>
  </si>
  <si>
    <t>Planejamento da versão mobile e novas oportunidades de mercado</t>
  </si>
  <si>
    <t>Reunião de Expansão</t>
  </si>
  <si>
    <t>STK-014</t>
  </si>
  <si>
    <t>Revisar roadmap de melhorias</t>
  </si>
  <si>
    <t>Após 1 semana</t>
  </si>
  <si>
    <t>Feedback consolidado de performance</t>
  </si>
  <si>
    <t>Mensal</t>
  </si>
  <si>
    <t>Equipe de Desenvolvimento e UX</t>
  </si>
  <si>
    <t>Online</t>
  </si>
  <si>
    <t>Reunião</t>
  </si>
  <si>
    <t>Discussão de feedbacks coletados e implementação de melhorias contínuas</t>
  </si>
  <si>
    <t>Sessão de Avaliação e Aperfeiçoamento</t>
  </si>
  <si>
    <t>STK-013</t>
  </si>
  <si>
    <t>Definir próximas melhorias</t>
  </si>
  <si>
    <t>Após cada reunião</t>
  </si>
  <si>
    <t>Feedback sobre métricas e desempenho</t>
  </si>
  <si>
    <t>Semanal (1º mês)</t>
  </si>
  <si>
    <t>Equipe Técnica e Gestores</t>
  </si>
  <si>
    <t>Avaliação das métricas iniciais de uso do dashboard.</t>
  </si>
  <si>
    <t>Reunião de Alinhamento Pós-Lançamento</t>
  </si>
  <si>
    <t>STK-012</t>
  </si>
  <si>
    <t>Registro em planilha de atendimento</t>
  </si>
  <si>
    <t>Contínuo</t>
  </si>
  <si>
    <t>Relato de incidentes e sugestões</t>
  </si>
  <si>
    <t>Diariamente (1ª semana)</t>
  </si>
  <si>
    <t>Stakeholders Internos</t>
  </si>
  <si>
    <t>Canal de Suporte / Teams</t>
  </si>
  <si>
    <t>Equipe de Suporte</t>
  </si>
  <si>
    <t>Comunicação Interna</t>
  </si>
  <si>
    <t>Monitoramento e suporte nas primeiras horas/dias de uso</t>
  </si>
  <si>
    <t>Suporte Pós-Lançamento</t>
  </si>
  <si>
    <t>STK-011</t>
  </si>
  <si>
    <t>Definir plano de suporte inicial</t>
  </si>
  <si>
    <t>1 dia após lançamento</t>
  </si>
  <si>
    <t>Confirmação de estabilidade e acessos</t>
  </si>
  <si>
    <t>No dia do lançamento</t>
  </si>
  <si>
    <t>Sala de Diretoria</t>
  </si>
  <si>
    <t>Ativação em produção e comunicação oficial</t>
  </si>
  <si>
    <t>Reunião de Lançamento</t>
  </si>
  <si>
    <t>STK-010</t>
  </si>
  <si>
    <t>Ajustes finais antes da produção</t>
  </si>
  <si>
    <t>Após 3 dias</t>
  </si>
  <si>
    <t>Feedback do cliente sobre usabilidade e métricas</t>
  </si>
  <si>
    <t>Pré-lançamento</t>
  </si>
  <si>
    <t>Cliente e Stakeholders</t>
  </si>
  <si>
    <t>Online / Cliente</t>
  </si>
  <si>
    <t>Reunião de Demonstração</t>
  </si>
  <si>
    <t>Apresentação do dashboard funcional com KPIs e gráficos interativos</t>
  </si>
  <si>
    <t>Demonstração do Dashboard ao Cliente</t>
  </si>
  <si>
    <t>STK-009</t>
  </si>
  <si>
    <t>Garantir estabilidade antes da liberação</t>
  </si>
  <si>
    <t>Após homologação</t>
  </si>
  <si>
    <t>Relatório de bugs e melhorias aplicadas</t>
  </si>
  <si>
    <t>A cada ciclo de testes</t>
  </si>
  <si>
    <t>Equipe de Testes e Dev</t>
  </si>
  <si>
    <t>Ambiente de Homologação</t>
  </si>
  <si>
    <t>QA Leader</t>
  </si>
  <si>
    <t>Validação de cenários de teste, correção de bugs e usabilidade</t>
  </si>
  <si>
    <t>Sessão de Testes e QA</t>
  </si>
  <si>
    <t>STK-008</t>
  </si>
  <si>
    <t>Verificar logs e conformidade com LGPD</t>
  </si>
  <si>
    <t>Confirmação de performance e segurança</t>
  </si>
  <si>
    <t>Quinzenal</t>
  </si>
  <si>
    <t>Desenvolvedores e Equipe de Dados</t>
  </si>
  <si>
    <t>Sala de Projeto</t>
  </si>
  <si>
    <t>Líder Técnico</t>
  </si>
  <si>
    <t>Análise de integração de dados, APIs, BI e segurança (LGPD e privacidade)</t>
  </si>
  <si>
    <t>Reunião Técnica</t>
  </si>
  <si>
    <t>STK-007</t>
  </si>
  <si>
    <t>Registrar ajustes no backlog</t>
  </si>
  <si>
    <t>Imediatamente após reunião</t>
  </si>
  <si>
    <t>Feedback sobre entregas e melhorias</t>
  </si>
  <si>
    <t>A cada sprint</t>
  </si>
  <si>
    <t>Product Owner e Stakeholders</t>
  </si>
  <si>
    <t>Meeting</t>
  </si>
  <si>
    <t>Scrum Master</t>
  </si>
  <si>
    <t>Demonstração de funcionalidades desenvolvidas (dashboards, filtros, gráficos)</t>
  </si>
  <si>
    <t>Revisão de Sprint</t>
  </si>
  <si>
    <t xml:space="preserve"> STK-006</t>
  </si>
  <si>
    <t>Garantir aderência às personas e critérios de UX</t>
  </si>
  <si>
    <t>Feedback sobre design, cores e navegação</t>
  </si>
  <si>
    <t>Semanal</t>
  </si>
  <si>
    <t>Equipe de Design e Desenvolvimento</t>
  </si>
  <si>
    <t>Online / Presencial</t>
  </si>
  <si>
    <t>Líder de UX</t>
  </si>
  <si>
    <t>Discussão sobre protótipos, acessibilidade, testes de usabilidade e jornada do usuário</t>
  </si>
  <si>
    <t>Sessão de Design e UX</t>
  </si>
  <si>
    <t>STK-005</t>
  </si>
  <si>
    <t>Estabelecer metas estratégicas, alocar recursos, tomar decisões de alto nível.</t>
  </si>
  <si>
    <t>Definem a estratégia e os recursos disponíveis.</t>
  </si>
  <si>
    <t>Sucesso da empresa, crescimento financeiro.</t>
  </si>
  <si>
    <t>Gerência Executiva/Alta Administração</t>
  </si>
  <si>
    <t>Alinhar campanhas com progresso técnico.</t>
  </si>
  <si>
    <t>Feedback sobre oportunidades e leads</t>
  </si>
  <si>
    <t>Equipe Comercial</t>
  </si>
  <si>
    <t>Responsável: Gerente Comercial</t>
  </si>
  <si>
    <t>Avaliar impacto do produto em potenciais clientes e estratégias de venda</t>
  </si>
  <si>
    <t>Reunião de Acompanhamento Comercial</t>
  </si>
  <si>
    <t>STK-004</t>
  </si>
  <si>
    <t>Responder a perguntas, resolver problemas, coletar feedback do cliente.</t>
  </si>
  <si>
    <t>Podem influenciar a satisfação do cliente.</t>
  </si>
  <si>
    <t>Satisfação do cliente, melhoria contínua do suporte.</t>
  </si>
  <si>
    <t>Equipe de Suporte ao Cliente</t>
  </si>
  <si>
    <t>Duração máxima de 15 minutos</t>
  </si>
  <si>
    <t>Durante reunião</t>
  </si>
  <si>
    <t>Feedback sobre progresso e bloqueios</t>
  </si>
  <si>
    <t>Diariamente</t>
  </si>
  <si>
    <t>Equipe de Desenvolvimento</t>
  </si>
  <si>
    <t>Meeting / Online</t>
  </si>
  <si>
    <t>Responsável: Scrum Master</t>
  </si>
  <si>
    <t>Acompanhamento de tarefas, status e impedimentos</t>
  </si>
  <si>
    <t>Reuniões Diárias (Daily Scrum)</t>
  </si>
  <si>
    <t>STK-003</t>
  </si>
  <si>
    <t>Design de interface, teste de usabilidade, feedback de design.</t>
  </si>
  <si>
    <t>Influenciam diretamente na usabilidade e na retenção de usuários.</t>
  </si>
  <si>
    <t>Satisfação do usuário, inovação de design.</t>
  </si>
  <si>
    <t>UX (User Experience)</t>
  </si>
  <si>
    <t>Ajustar backlog e prazos conforme andamento.</t>
  </si>
  <si>
    <t>Alinhamento de entregas e prioridades</t>
  </si>
  <si>
    <t>A cada 2 semanas</t>
  </si>
  <si>
    <t>Equipe de Projeto</t>
  </si>
  <si>
    <t xml:space="preserve">Sala de Reuniões </t>
  </si>
  <si>
    <t>Definição de metas, cronograma e responsabilidades por fase (planejamento, design, desenvolvimento, testes)</t>
  </si>
  <si>
    <t>Reunião de Planejamento</t>
  </si>
  <si>
    <t>STK-002</t>
  </si>
  <si>
    <t>Planejar campanhas, criar conteúdo, monitorar métricas de marketing.</t>
  </si>
  <si>
    <t>Moldam a percepção do aplicativo e da marca no mercado.</t>
  </si>
  <si>
    <t>Sucesso das campanhas, crescimento da base de usuários.</t>
  </si>
  <si>
    <t>Marketing</t>
  </si>
  <si>
    <t>Discutir primeiros riscos e critérios de sucesso</t>
  </si>
  <si>
    <t>Coleta de impressões e expectativas dos participantes</t>
  </si>
  <si>
    <t>Uma vez no início do projeto</t>
  </si>
  <si>
    <t>Todos os Stakeholders</t>
  </si>
  <si>
    <t>SalaSala de Conferências / Online</t>
  </si>
  <si>
    <t>Apresentação do projeto, objetivos, escopo, stakeholders e visão do produto (dashboards personalizados)</t>
  </si>
  <si>
    <t>Kick-off Meeting</t>
  </si>
  <si>
    <t>STK-001</t>
  </si>
  <si>
    <t>Negociar parcerias, fechar vendas, atingir metas de receita.</t>
  </si>
  <si>
    <t>Impactam nas estratégias de vendas e marketing.</t>
  </si>
  <si>
    <t>Crescimento do negócio, sucesso no mercado.</t>
  </si>
  <si>
    <t>Time Comercial</t>
  </si>
  <si>
    <t>Data Feedback</t>
  </si>
  <si>
    <t>Feedback</t>
  </si>
  <si>
    <t>Data ou Freqüência</t>
  </si>
  <si>
    <t>Receptor</t>
  </si>
  <si>
    <t>Local</t>
  </si>
  <si>
    <t>Emissor –responsavel</t>
  </si>
  <si>
    <t>Tipo</t>
  </si>
  <si>
    <t>Assunto/Conteúdo</t>
  </si>
  <si>
    <t>Atividade</t>
  </si>
  <si>
    <t>Impactam diretamente na qualidade técnica do aplicativo.</t>
  </si>
  <si>
    <t>Desenvolvimento de software, aprendizado contínuo.</t>
  </si>
  <si>
    <t>Sucesso do produto, inovação na área de saúde e bem-estar.</t>
  </si>
  <si>
    <t>Página: 01/01</t>
  </si>
  <si>
    <t>Data: 27/10/2025      Projeto: Cannoli</t>
  </si>
  <si>
    <t>Usar o aplicativo, fornecer feedback, compartilhar experiências.</t>
  </si>
  <si>
    <t>Influenciam o sucesso do aplicativo por meio do uso e feedback.</t>
  </si>
  <si>
    <t>Saúde pessoal, bem-estar, facilidade de uso do aplicativo.</t>
  </si>
  <si>
    <t>Cliente (Usuários Finais)</t>
  </si>
  <si>
    <t>Plano de Comunicação</t>
  </si>
  <si>
    <t>Explicar a ação a ser tomada:</t>
  </si>
  <si>
    <t>Nível de poder no projeto</t>
  </si>
  <si>
    <t>Nível de Interesse no projeto</t>
  </si>
  <si>
    <t>Identificação Stakeholder</t>
  </si>
  <si>
    <r>
      <t xml:space="preserve">Quadro 01. Matriz Interesse </t>
    </r>
    <r>
      <rPr>
        <b/>
        <i/>
        <sz val="11"/>
        <rFont val="Calibri"/>
        <family val="2"/>
      </rPr>
      <t>versus</t>
    </r>
    <r>
      <rPr>
        <b/>
        <sz val="11"/>
        <rFont val="Calibri"/>
        <family val="2"/>
      </rPr>
      <t xml:space="preserve"> Poder para o projeto</t>
    </r>
  </si>
  <si>
    <r>
      <t>1.</t>
    </r>
    <r>
      <rPr>
        <b/>
        <sz val="7"/>
        <rFont val="Times New Roman"/>
        <family val="1"/>
      </rPr>
      <t xml:space="preserve">    </t>
    </r>
    <r>
      <rPr>
        <b/>
        <sz val="11"/>
        <rFont val="Calibri"/>
        <family val="2"/>
      </rPr>
      <t>Identificação das principais partes interessadas no projeto (stakeholders do projeto)</t>
    </r>
  </si>
  <si>
    <r>
      <t>Responsabilidades:</t>
    </r>
    <r>
      <rPr>
        <sz val="10"/>
        <rFont val="Arial"/>
      </rPr>
      <t xml:space="preserve"> Desenvolver interfaces e funcionalidades, integrar sistemas, apoiar na gestão de cronogramas e recursos, e assegurar que os prazos e objetivos técnicos sejam cumpridos.</t>
    </r>
  </si>
  <si>
    <r>
      <t>Perfil:</t>
    </r>
    <r>
      <rPr>
        <sz val="10"/>
        <rFont val="Arial"/>
      </rPr>
      <t xml:space="preserve"> Formação em Análise e Desenvolvimento de Sistemas, com domínio em tecnologias web, boas práticas de arquitetura e gerenciamento de projetos.</t>
    </r>
  </si>
  <si>
    <r>
      <t>Papel:</t>
    </r>
    <r>
      <rPr>
        <sz val="10"/>
        <rFont val="Arial"/>
      </rPr>
      <t xml:space="preserve"> Responsável pelo desenvolvimento completo do projeto (Front-end e Back-end), além de apoiar a gestão e o monitoramento do progresso como PMO.</t>
    </r>
  </si>
  <si>
    <r>
      <t>Nome e cargo:</t>
    </r>
    <r>
      <rPr>
        <sz val="10"/>
        <rFont val="Arial"/>
      </rPr>
      <t xml:space="preserve"> Luiz Felipe – Desenvolvedor Full-Stack / PMO</t>
    </r>
  </si>
  <si>
    <t>Desenvolvedor Full-Stack / PMO</t>
  </si>
  <si>
    <r>
      <t>Responsabilidades:</t>
    </r>
    <r>
      <rPr>
        <sz val="10"/>
        <rFont val="Arial"/>
      </rPr>
      <t xml:space="preserve"> Construir e manter pipelines de dados, realizar limpeza e padronização de informações, e garantir a disponibilidade dos dados para análise e relatórios.</t>
    </r>
  </si>
  <si>
    <r>
      <t>Perfil:</t>
    </r>
    <r>
      <rPr>
        <sz val="10"/>
        <rFont val="Arial"/>
      </rPr>
      <t xml:space="preserve"> Formação em Engenharia ou Ciência de Dados, com experiência em processos ETL, bancos de dados SQL e integração de sistemas.</t>
    </r>
  </si>
  <si>
    <r>
      <t>Papel:</t>
    </r>
    <r>
      <rPr>
        <sz val="10"/>
        <rFont val="Arial"/>
      </rPr>
      <t xml:space="preserve"> Extrair, transformar e carregar dados de diversas fontes, garantindo a qualidade, integridade e armazenamento seguro das informações.</t>
    </r>
  </si>
  <si>
    <r>
      <t>Nome e cargo:</t>
    </r>
    <r>
      <rPr>
        <sz val="10"/>
        <rFont val="Arial"/>
      </rPr>
      <t xml:space="preserve"> Gabriel Pires – Engenheiro de Dados ETL</t>
    </r>
  </si>
  <si>
    <t>Engenheiro de Dados ETL</t>
  </si>
  <si>
    <r>
      <t>Responsabilidades:</t>
    </r>
    <r>
      <rPr>
        <sz val="10"/>
        <rFont val="Arial"/>
      </rPr>
      <t xml:space="preserve"> Desenvolver dashboards e relatórios, apoiar na estruturação de dados e contribuir com análises para apoiar decisões estratégicas.</t>
    </r>
  </si>
  <si>
    <r>
      <t>Perfil:</t>
    </r>
    <r>
      <rPr>
        <sz val="10"/>
        <rFont val="Arial"/>
      </rPr>
      <t xml:space="preserve"> Formação em Ciência de Dados, TI ou áreas afins, com domínio em Python, Power BI e bibliotecas de visualização de dados.</t>
    </r>
  </si>
  <si>
    <r>
      <t>Papel:</t>
    </r>
    <r>
      <rPr>
        <sz val="10"/>
        <rFont val="Arial"/>
      </rPr>
      <t xml:space="preserve"> Criar dashboards interativos para visualização e análise de dados, transformando informações em gráficos e painéis dinâmicos.</t>
    </r>
  </si>
  <si>
    <r>
      <t>Nome e cargo:</t>
    </r>
    <r>
      <rPr>
        <sz val="10"/>
        <rFont val="Arial"/>
      </rPr>
      <t xml:space="preserve"> Anderson Yavi – Desenvolvedor de Dashboards</t>
    </r>
  </si>
  <si>
    <t>Desenvolvedor de Dashboards</t>
  </si>
  <si>
    <r>
      <t>Responsabilidades:</t>
    </r>
    <r>
      <rPr>
        <sz val="10"/>
        <rFont val="Arial"/>
      </rPr>
      <t xml:space="preserve"> Definir requisitos e funcionalidades, gerenciar backlog, validar entregas da equipe de desenvolvimento e assegurar precisão, consistência e segurança nas informações tratadas.</t>
    </r>
  </si>
  <si>
    <r>
      <t>Perfil:</t>
    </r>
    <r>
      <rPr>
        <sz val="10"/>
        <rFont val="Arial"/>
      </rPr>
      <t xml:space="preserve"> Formação em Engenharia de Dados ou áreas correlatas, com conhecimento em banco de dados e metodologias ágeis (Scrum/Kanban).</t>
    </r>
  </si>
  <si>
    <r>
      <t>Papel:</t>
    </r>
    <r>
      <rPr>
        <sz val="10"/>
        <rFont val="Arial"/>
      </rPr>
      <t xml:space="preserve"> Responsável pelo gerenciamento do fluxo de dados e pela definição de prioridades do produto, assegurando que as entregas atendam às necessidades do projeto.</t>
    </r>
  </si>
  <si>
    <r>
      <t>Nome e cargo:</t>
    </r>
    <r>
      <rPr>
        <sz val="10"/>
        <rFont val="Arial"/>
      </rPr>
      <t xml:space="preserve"> Isabela Nunes – Gerente Administrativo/PO (Product Owner)</t>
    </r>
  </si>
  <si>
    <t>Gerente Administrativo/PO</t>
  </si>
  <si>
    <r>
      <t>Responsabilidades:</t>
    </r>
    <r>
      <rPr>
        <sz val="10"/>
        <rFont val="Arial"/>
      </rPr>
      <t xml:space="preserve"> Planejar e monitorar o andamento do projeto, controlar cronogramas e recursos, coordenar a comunicação entre os membros da equipe e stakeholders, e garantir o cumprimento das metas estabelecidas.</t>
    </r>
  </si>
  <si>
    <r>
      <t>Perfil:</t>
    </r>
    <r>
      <rPr>
        <sz val="10"/>
        <rFont val="Arial"/>
      </rPr>
      <t xml:space="preserve"> Formação em Gestão de Projetos ou áreas correlatas, com experiência em coordenação de equipes multidisciplinares e uso de metodologias ágeis.</t>
    </r>
  </si>
  <si>
    <r>
      <t>Papel:</t>
    </r>
    <r>
      <rPr>
        <sz val="10"/>
        <rFont val="Arial"/>
      </rPr>
      <t xml:space="preserve"> Responsável pelo planejamento, controle e execução do projeto, assegurando que escopo, prazo, custo e qualidade sejam atendidos.</t>
    </r>
  </si>
  <si>
    <r>
      <t>Nome e cargo:</t>
    </r>
    <r>
      <rPr>
        <sz val="10"/>
        <rFont val="Arial"/>
      </rPr>
      <t xml:space="preserve"> Kaique Neres – Gerente de Projeto</t>
    </r>
  </si>
  <si>
    <t>2 - Planejamento do RH</t>
  </si>
  <si>
    <t>8h</t>
  </si>
  <si>
    <t>TI - Desenvolvimento</t>
  </si>
  <si>
    <t>Desenvolvedor Full-Stack</t>
  </si>
  <si>
    <t xml:space="preserve">Luiz Felipe </t>
  </si>
  <si>
    <t>Gabriel Pires</t>
  </si>
  <si>
    <t>Anderson Yavi</t>
  </si>
  <si>
    <t>Gerência e Comunicação</t>
  </si>
  <si>
    <t>Isabela Nunes</t>
  </si>
  <si>
    <t>Gerência (Interno)</t>
  </si>
  <si>
    <t>Kaique Neres</t>
  </si>
  <si>
    <t>DEDICAÇÃO - Integral/ parcial/horas</t>
  </si>
  <si>
    <t>ORIGEM - Organização / Externo</t>
  </si>
  <si>
    <t>Função no projeto</t>
  </si>
  <si>
    <t>Nome</t>
  </si>
  <si>
    <t>1 - Equipe do projeto</t>
  </si>
  <si>
    <t xml:space="preserve">Elaborar de acordo com o exemplo abaixo um planejamento de RH para o projeto </t>
  </si>
  <si>
    <t>Gestão de RH</t>
  </si>
  <si>
    <t>Modelo de registro de treinamento no local de trabalho.</t>
  </si>
  <si>
    <t>Gabriel</t>
  </si>
  <si>
    <t>Anderson</t>
  </si>
  <si>
    <t>Luiz Felipe</t>
  </si>
  <si>
    <t>Isabela</t>
  </si>
  <si>
    <t>Kaique</t>
  </si>
  <si>
    <t>(…)</t>
  </si>
  <si>
    <t>Planejamento e Controle de RH do Projeto</t>
  </si>
  <si>
    <t>Comunicação e Trabalho em Equipe</t>
  </si>
  <si>
    <t>Metodologias Ágeis (Scrum/Kanban)</t>
  </si>
  <si>
    <t>Controle de Qualidade e Testes</t>
  </si>
  <si>
    <t>Segurança e Governança de Dados</t>
  </si>
  <si>
    <t>Gerencia Projetos</t>
  </si>
  <si>
    <t>Elaborar a W.B.S</t>
  </si>
  <si>
    <t>Utilização de VSCode e Ferramentas de Desenvolvimento</t>
  </si>
  <si>
    <t>Integração de APIs e Serviços Externos</t>
  </si>
  <si>
    <t>Desenvolvimento Back-End</t>
  </si>
  <si>
    <t>Desenvolvimento Front-End</t>
  </si>
  <si>
    <t>Modelagem e Organização de Banco de Dados</t>
  </si>
  <si>
    <t>Processos ETL</t>
  </si>
  <si>
    <t>Criação de Dashboards e Relatórios</t>
  </si>
  <si>
    <t>Gerenciamento de Backlog / Requisitos</t>
  </si>
  <si>
    <t xml:space="preserve">Gestão de Stakeholders                   </t>
  </si>
  <si>
    <t>Planejamento de Projeto</t>
  </si>
  <si>
    <t>Pessoa</t>
  </si>
  <si>
    <t>Habilitação</t>
  </si>
  <si>
    <t>Especialista</t>
  </si>
  <si>
    <t>Responsável: Kaique</t>
  </si>
  <si>
    <t>Experiência prática</t>
  </si>
  <si>
    <t>Site : Cannoli</t>
  </si>
  <si>
    <t>Domínio básico</t>
  </si>
  <si>
    <t>Revisado em 11/2025</t>
  </si>
  <si>
    <t>Participou de treinamento</t>
  </si>
  <si>
    <t>Nenhum conhecimento</t>
  </si>
  <si>
    <t xml:space="preserve">MAPA DE COMPETÊNCIAS </t>
  </si>
  <si>
    <t>Perfil de Qualificação</t>
  </si>
  <si>
    <t>E</t>
  </si>
  <si>
    <t>C</t>
  </si>
  <si>
    <t>A</t>
  </si>
  <si>
    <t>I</t>
  </si>
  <si>
    <t>I - Informado</t>
  </si>
  <si>
    <t>C - Consultado</t>
  </si>
  <si>
    <t>A - Responsável pela Aprovação</t>
  </si>
  <si>
    <t>Legenda - - Gráfico RACI (Responsabilidade, Aprovação, Consultado e Informado)</t>
  </si>
  <si>
    <t>Analista de Qualidade</t>
  </si>
  <si>
    <t>Gabriel Gonçalves</t>
  </si>
  <si>
    <t>Desenvolvedor Sênior</t>
  </si>
  <si>
    <t>Gerente Comercial</t>
  </si>
  <si>
    <t>Gerente Administrativo</t>
  </si>
  <si>
    <t>EQUIPE DO PROJETO</t>
  </si>
  <si>
    <t>REALIZAR O DESIGN DA INTERFACE DO USUÁRIO (UI)</t>
  </si>
  <si>
    <t>GG</t>
  </si>
  <si>
    <t>AY</t>
  </si>
  <si>
    <t>LF</t>
  </si>
  <si>
    <t>IN</t>
  </si>
  <si>
    <t>KN</t>
  </si>
  <si>
    <t xml:space="preserve">Etapas – Atividades </t>
  </si>
  <si>
    <t>Equipe do Projeto</t>
  </si>
  <si>
    <t>6. Matriz de Responsabilidade</t>
  </si>
  <si>
    <t>Muito Alta - 0,80</t>
  </si>
  <si>
    <t>Alta - 0,40</t>
  </si>
  <si>
    <t>Moderada - 0,20</t>
  </si>
  <si>
    <t>Baixa - 0,10</t>
  </si>
  <si>
    <t>Desvio total maior que 20% no cronograma</t>
  </si>
  <si>
    <t>Mais de 20% de aumento nos custos</t>
  </si>
  <si>
    <t>Desvio total entre 10% e 20% no cronograma</t>
  </si>
  <si>
    <t>Desvio total entre 5% e 10% no cronograma</t>
  </si>
  <si>
    <t>Desvio menor que 5% no cronograma</t>
  </si>
  <si>
    <t>Desvio no cronograma insignificante</t>
  </si>
  <si>
    <t>entre 10% e 20% de aumento do custo</t>
  </si>
  <si>
    <t>entre 5% e 10% de aumento do custo</t>
  </si>
  <si>
    <t>Menos de 5% de aumento no custo</t>
  </si>
  <si>
    <t>Aumento de custo Insignificante</t>
  </si>
  <si>
    <t>Peso1 X Peso2</t>
  </si>
  <si>
    <t>Peso2</t>
  </si>
  <si>
    <t>Cronograma</t>
  </si>
  <si>
    <t>Peso1</t>
  </si>
  <si>
    <t>Retrabalho e desmotivação da equipe.</t>
  </si>
  <si>
    <t>Exposição de dados e danos à reputação.</t>
  </si>
  <si>
    <t>Aumento do tempo e custo de recuperação em crises.</t>
  </si>
  <si>
    <t>Vazamento interno e falhas de compliance.</t>
  </si>
  <si>
    <t>Sanções legais e perda de confiança dos usuários.</t>
  </si>
  <si>
    <t>Perda de dados e paralisação de operações.</t>
  </si>
  <si>
    <t>Obsolescência do sistema e aumento de custos.</t>
  </si>
  <si>
    <t>Multas, bloqueios regulatórios e danos à imagem.</t>
  </si>
  <si>
    <t>Atrasos, desalinhamento e perda de qualidade.</t>
  </si>
  <si>
    <t>Resistência dos usuários e instabilidade nos sistemas.</t>
  </si>
  <si>
    <t>R - Responsável pela Execução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</si>
</sst>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 numFmtId="170" formatCode="&quot;$&quot;#,##0.00_);[Red]\(&quot;$&quot;#,##0.00\)"/>
    <numFmt numFmtId="171" formatCode="[$-416]mmm/yy;@"/>
    <numFmt numFmtId="172" formatCode="0_);\(0\)"/>
    <numFmt numFmtId="173" formatCode="&quot;R$ &quot;#,##0_);\(&quot;R$ &quot;#,##0\)"/>
  </numFmts>
  <fonts count="10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sz val="11"/>
      <name val="Arial"/>
      <family val="2"/>
    </font>
    <font>
      <b/>
      <sz val="14"/>
      <name val="Arial"/>
      <family val="2"/>
    </font>
    <font>
      <sz val="9"/>
      <name val="Times New Roman"/>
      <family val="1"/>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u/>
      <sz val="10"/>
      <name val="Arial"/>
      <family val="2"/>
    </font>
    <font>
      <b/>
      <u/>
      <sz val="10"/>
      <name val="Arial"/>
      <family val="2"/>
    </font>
    <font>
      <u/>
      <sz val="12"/>
      <color rgb="FF374151"/>
      <name val="Arial"/>
      <family val="2"/>
    </font>
    <font>
      <b/>
      <sz val="10"/>
      <name val="Calibri"/>
      <family val="2"/>
      <scheme val="minor"/>
    </font>
    <font>
      <i/>
      <sz val="10"/>
      <name val="Calibri"/>
      <family val="2"/>
      <scheme val="minor"/>
    </font>
    <font>
      <b/>
      <sz val="10"/>
      <color rgb="FF374151"/>
      <name val="Arial"/>
      <family val="2"/>
    </font>
    <font>
      <sz val="10"/>
      <name val="Arial"/>
    </font>
    <font>
      <b/>
      <sz val="11"/>
      <color theme="0"/>
      <name val="Calibri"/>
      <family val="2"/>
      <scheme val="minor"/>
    </font>
    <font>
      <b/>
      <sz val="12"/>
      <color indexed="23"/>
      <name val="Calibri"/>
      <family val="2"/>
      <scheme val="minor"/>
    </font>
    <font>
      <sz val="12"/>
      <color indexed="23"/>
      <name val="Calibri"/>
      <family val="2"/>
      <scheme val="minor"/>
    </font>
    <font>
      <b/>
      <i/>
      <sz val="18"/>
      <color rgb="FFFFFFFF"/>
      <name val="Cambria"/>
      <family val="2"/>
      <scheme val="major"/>
    </font>
    <font>
      <sz val="12"/>
      <color rgb="FFFFFFFF"/>
      <name val="Calibri"/>
      <family val="2"/>
      <scheme val="minor"/>
    </font>
    <font>
      <b/>
      <i/>
      <sz val="18"/>
      <color rgb="FFFFFFFF"/>
      <name val="Cambria"/>
      <family val="1"/>
    </font>
    <font>
      <sz val="12"/>
      <color theme="0"/>
      <name val="Calibri"/>
      <family val="2"/>
      <scheme val="minor"/>
    </font>
    <font>
      <sz val="12"/>
      <color theme="1"/>
      <name val="Calibri"/>
      <family val="2"/>
      <scheme val="minor"/>
    </font>
    <font>
      <sz val="14"/>
      <color indexed="23"/>
      <name val="Calibri"/>
      <family val="2"/>
      <scheme val="minor"/>
    </font>
    <font>
      <b/>
      <i/>
      <sz val="14"/>
      <color theme="0"/>
      <name val="Calibri"/>
      <family val="2"/>
      <scheme val="minor"/>
    </font>
    <font>
      <i/>
      <sz val="14"/>
      <color theme="1"/>
      <name val="Calibri"/>
      <family val="2"/>
      <scheme val="minor"/>
    </font>
    <font>
      <sz val="14"/>
      <color theme="1"/>
      <name val="Calibri"/>
      <family val="2"/>
      <scheme val="minor"/>
    </font>
    <font>
      <sz val="11"/>
      <name val="Calibri"/>
      <family val="2"/>
    </font>
    <font>
      <sz val="12"/>
      <name val="Calibri"/>
      <family val="2"/>
      <scheme val="minor"/>
    </font>
    <font>
      <b/>
      <sz val="11"/>
      <name val="Calibri"/>
      <family val="2"/>
      <scheme val="minor"/>
    </font>
    <font>
      <b/>
      <sz val="11"/>
      <color theme="1"/>
      <name val="Calibri"/>
      <family val="2"/>
    </font>
    <font>
      <b/>
      <i/>
      <sz val="12"/>
      <color theme="1"/>
      <name val="Calibri"/>
      <family val="2"/>
    </font>
    <font>
      <b/>
      <sz val="9"/>
      <color indexed="81"/>
      <name val="Tahoma"/>
      <family val="2"/>
    </font>
    <font>
      <sz val="9"/>
      <color indexed="81"/>
      <name val="Tahoma"/>
      <family val="2"/>
    </font>
    <font>
      <b/>
      <i/>
      <sz val="11"/>
      <color theme="1"/>
      <name val="Calibri"/>
      <family val="2"/>
    </font>
    <font>
      <b/>
      <i/>
      <sz val="11"/>
      <color theme="1"/>
      <name val="Calibri"/>
      <family val="2"/>
      <scheme val="minor"/>
    </font>
    <font>
      <b/>
      <sz val="8"/>
      <color indexed="9"/>
      <name val="Tahoma"/>
      <family val="2"/>
    </font>
    <font>
      <b/>
      <sz val="10"/>
      <name val="Arial"/>
    </font>
    <font>
      <b/>
      <sz val="10"/>
      <color indexed="9"/>
      <name val="Arial"/>
    </font>
    <font>
      <b/>
      <sz val="8"/>
      <name val="Arial"/>
      <family val="2"/>
    </font>
    <font>
      <b/>
      <sz val="8"/>
      <color indexed="10"/>
      <name val="Arial"/>
      <family val="2"/>
    </font>
    <font>
      <b/>
      <sz val="8"/>
      <color indexed="8"/>
      <name val="Arial"/>
      <family val="2"/>
    </font>
    <font>
      <sz val="8"/>
      <color indexed="8"/>
      <name val="Arial"/>
      <family val="2"/>
    </font>
    <font>
      <b/>
      <sz val="16"/>
      <name val="Arial"/>
      <family val="2"/>
    </font>
    <font>
      <b/>
      <sz val="12"/>
      <color indexed="10"/>
      <name val="Arial"/>
      <family val="2"/>
    </font>
    <font>
      <sz val="12"/>
      <color rgb="FF374151"/>
      <name val="Segoe UI"/>
      <family val="2"/>
    </font>
    <font>
      <sz val="11"/>
      <color rgb="FFFF0000"/>
      <name val="Calibri"/>
      <family val="2"/>
    </font>
    <font>
      <b/>
      <sz val="11"/>
      <color rgb="FFFF0000"/>
      <name val="Calibri"/>
      <family val="2"/>
    </font>
    <font>
      <i/>
      <sz val="11"/>
      <name val="Calibri"/>
      <family val="2"/>
    </font>
    <font>
      <sz val="3"/>
      <name val="Calibri"/>
      <family val="2"/>
    </font>
    <font>
      <sz val="10"/>
      <name val="Calibri"/>
      <family val="2"/>
    </font>
    <font>
      <b/>
      <sz val="11"/>
      <name val="Calibri"/>
      <family val="2"/>
    </font>
    <font>
      <b/>
      <i/>
      <sz val="11"/>
      <name val="Calibri"/>
      <family val="2"/>
    </font>
    <font>
      <b/>
      <sz val="7"/>
      <name val="Times New Roman"/>
      <family val="1"/>
    </font>
    <font>
      <b/>
      <sz val="13.5"/>
      <name val="Arial"/>
    </font>
    <font>
      <sz val="16"/>
      <name val="Arial"/>
      <family val="2"/>
    </font>
    <font>
      <b/>
      <sz val="10"/>
      <color theme="0"/>
      <name val="Arial"/>
      <family val="2"/>
    </font>
    <font>
      <b/>
      <sz val="10"/>
      <color indexed="9"/>
      <name val="Arial"/>
      <family val="2"/>
    </font>
    <font>
      <sz val="12"/>
      <color indexed="9"/>
      <name val="Arial"/>
      <family val="2"/>
    </font>
    <font>
      <b/>
      <sz val="12"/>
      <color indexed="9"/>
      <name val="Arial"/>
      <family val="2"/>
    </font>
    <font>
      <i/>
      <sz val="14"/>
      <name val="Arial"/>
      <family val="2"/>
    </font>
    <font>
      <sz val="10"/>
      <color indexed="62"/>
      <name val="Arial"/>
      <family val="2"/>
    </font>
    <font>
      <b/>
      <sz val="14"/>
      <color indexed="62"/>
      <name val="Arial"/>
      <family val="2"/>
    </font>
    <font>
      <sz val="9"/>
      <color rgb="FF000000"/>
      <name val="Calibri"/>
      <family val="2"/>
    </font>
    <font>
      <sz val="9"/>
      <name val="Calibri"/>
      <family val="2"/>
    </font>
    <font>
      <b/>
      <sz val="15"/>
      <name val="Arial"/>
      <family val="2"/>
    </font>
  </fonts>
  <fills count="43">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5" tint="0.39997558519241921"/>
        <bgColor indexed="64"/>
      </patternFill>
    </fill>
    <fill>
      <patternFill patternType="solid">
        <fgColor rgb="FFDCCAF6"/>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rgb="FF0070C0"/>
        <bgColor indexed="64"/>
      </patternFill>
    </fill>
    <fill>
      <patternFill patternType="solid">
        <fgColor theme="4"/>
        <bgColor indexed="64"/>
      </patternFill>
    </fill>
    <fill>
      <patternFill patternType="solid">
        <fgColor theme="0" tint="-0.34998626667073579"/>
        <bgColor indexed="64"/>
      </patternFill>
    </fill>
    <fill>
      <patternFill patternType="solid">
        <fgColor indexed="56"/>
      </patternFill>
    </fill>
    <fill>
      <patternFill patternType="solid">
        <fgColor indexed="22"/>
        <bgColor indexed="64"/>
      </patternFill>
    </fill>
    <fill>
      <patternFill patternType="solid">
        <fgColor indexed="41"/>
        <bgColor indexed="64"/>
      </patternFill>
    </fill>
    <fill>
      <patternFill patternType="solid">
        <fgColor indexed="10"/>
        <bgColor indexed="64"/>
      </patternFill>
    </fill>
    <fill>
      <patternFill patternType="solid">
        <fgColor indexed="47"/>
        <bgColor indexed="64"/>
      </patternFill>
    </fill>
    <fill>
      <patternFill patternType="solid">
        <fgColor indexed="43"/>
        <bgColor indexed="64"/>
      </patternFill>
    </fill>
    <fill>
      <patternFill patternType="solid">
        <fgColor rgb="FFFFFFFF"/>
        <bgColor indexed="64"/>
      </patternFill>
    </fill>
    <fill>
      <patternFill patternType="gray125">
        <bgColor rgb="FFDFDFDF"/>
      </patternFill>
    </fill>
    <fill>
      <patternFill patternType="solid">
        <fgColor rgb="FFA679E7"/>
        <bgColor indexed="64"/>
      </patternFill>
    </fill>
    <fill>
      <patternFill patternType="solid">
        <fgColor indexed="42"/>
        <bgColor indexed="64"/>
      </patternFill>
    </fill>
    <fill>
      <patternFill patternType="gray125">
        <bgColor indexed="9"/>
      </patternFill>
    </fill>
  </fills>
  <borders count="1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style="thin">
        <color theme="3"/>
      </top>
      <bottom style="thin">
        <color theme="3"/>
      </bottom>
      <diagonal/>
    </border>
    <border>
      <left style="thin">
        <color theme="3"/>
      </left>
      <right style="medium">
        <color indexed="64"/>
      </right>
      <top/>
      <bottom style="thin">
        <color theme="3"/>
      </bottom>
      <diagonal/>
    </border>
    <border>
      <left style="thin">
        <color theme="3"/>
      </left>
      <right/>
      <top style="thin">
        <color theme="3"/>
      </top>
      <bottom style="thin">
        <color theme="3"/>
      </bottom>
      <diagonal/>
    </border>
    <border>
      <left style="thin">
        <color theme="3"/>
      </left>
      <right/>
      <top style="thin">
        <color theme="3"/>
      </top>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thin">
        <color theme="3"/>
      </left>
      <right style="medium">
        <color indexed="64"/>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theme="3"/>
      </top>
      <bottom style="thin">
        <color theme="3"/>
      </bottom>
      <diagonal/>
    </border>
    <border>
      <left style="medium">
        <color indexed="64"/>
      </left>
      <right style="medium">
        <color indexed="64"/>
      </right>
      <top/>
      <bottom style="thin">
        <color theme="3"/>
      </bottom>
      <diagonal/>
    </border>
    <border>
      <left style="medium">
        <color indexed="64"/>
      </left>
      <right style="medium">
        <color indexed="64"/>
      </right>
      <top style="thin">
        <color theme="3"/>
      </top>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theme="3"/>
      </top>
      <bottom style="thin">
        <color theme="3"/>
      </bottom>
      <diagonal/>
    </border>
    <border>
      <left style="medium">
        <color indexed="64"/>
      </left>
      <right/>
      <top style="thin">
        <color theme="3"/>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bottom style="thin">
        <color theme="3"/>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theme="3"/>
      </left>
      <right/>
      <top/>
      <bottom style="thin">
        <color theme="3"/>
      </bottom>
      <diagonal/>
    </border>
    <border>
      <left style="thin">
        <color indexed="64"/>
      </left>
      <right/>
      <top/>
      <bottom style="medium">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medium">
        <color indexed="64"/>
      </right>
      <top style="thin">
        <color theme="3"/>
      </top>
      <bottom style="thin">
        <color theme="3"/>
      </bottom>
      <diagonal/>
    </border>
    <border>
      <left style="thin">
        <color indexed="64"/>
      </left>
      <right style="thin">
        <color theme="3"/>
      </right>
      <top style="thin">
        <color theme="3"/>
      </top>
      <bottom style="thin">
        <color theme="3"/>
      </bottom>
      <diagonal/>
    </border>
    <border>
      <left style="thin">
        <color indexed="64"/>
      </left>
      <right style="medium">
        <color indexed="64"/>
      </right>
      <top/>
      <bottom style="thin">
        <color theme="3"/>
      </bottom>
      <diagonal/>
    </border>
    <border>
      <left style="thin">
        <color indexed="64"/>
      </left>
      <right style="thin">
        <color indexed="64"/>
      </right>
      <top style="thin">
        <color indexed="64"/>
      </top>
      <bottom style="thin">
        <color theme="3"/>
      </bottom>
      <diagonal/>
    </border>
    <border>
      <left style="thin">
        <color indexed="64"/>
      </left>
      <right style="thin">
        <color indexed="64"/>
      </right>
      <top style="thin">
        <color theme="3"/>
      </top>
      <bottom style="thin">
        <color theme="3"/>
      </bottom>
      <diagonal/>
    </border>
    <border>
      <left style="thin">
        <color indexed="64"/>
      </left>
      <right style="thin">
        <color indexed="64"/>
      </right>
      <top style="thin">
        <color theme="3"/>
      </top>
      <bottom style="medium">
        <color indexed="64"/>
      </bottom>
      <diagonal/>
    </border>
    <border>
      <left style="thin">
        <color indexed="64"/>
      </left>
      <right style="thin">
        <color indexed="64"/>
      </right>
      <top/>
      <bottom style="thin">
        <color theme="3"/>
      </bottom>
      <diagonal/>
    </border>
    <border>
      <left style="thin">
        <color indexed="64"/>
      </left>
      <right/>
      <top style="medium">
        <color indexed="64"/>
      </top>
      <bottom style="medium">
        <color indexed="64"/>
      </bottom>
      <diagonal/>
    </border>
    <border>
      <left style="medium">
        <color indexed="64"/>
      </left>
      <right style="thin">
        <color theme="3"/>
      </right>
      <top style="medium">
        <color indexed="64"/>
      </top>
      <bottom style="medium">
        <color indexed="64"/>
      </bottom>
      <diagonal/>
    </border>
    <border>
      <left style="thin">
        <color indexed="64"/>
      </left>
      <right style="thin">
        <color indexed="64"/>
      </right>
      <top style="thin">
        <color theme="3"/>
      </top>
      <bottom style="thin">
        <color indexed="64"/>
      </bottom>
      <diagonal/>
    </border>
    <border>
      <left/>
      <right/>
      <top style="thin">
        <color theme="2"/>
      </top>
      <bottom/>
      <diagonal/>
    </border>
    <border>
      <left/>
      <right/>
      <top/>
      <bottom style="thin">
        <color theme="2"/>
      </bottom>
      <diagonal/>
    </border>
    <border>
      <left/>
      <right style="medium">
        <color rgb="FF999999"/>
      </right>
      <top style="medium">
        <color rgb="FF999999"/>
      </top>
      <bottom style="medium">
        <color rgb="FF999999"/>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55"/>
      </left>
      <right style="thin">
        <color indexed="64"/>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style="thin">
        <color indexed="55"/>
      </right>
      <top style="thin">
        <color indexed="64"/>
      </top>
      <bottom style="thin">
        <color indexed="55"/>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diagonal/>
    </border>
    <border>
      <left style="medium">
        <color rgb="FF000000"/>
      </left>
      <right/>
      <top style="medium">
        <color indexed="64"/>
      </top>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thick">
        <color indexed="64"/>
      </left>
      <right style="medium">
        <color indexed="64"/>
      </right>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medium">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style="medium">
        <color rgb="FF000000"/>
      </left>
      <right/>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s>
  <cellStyleXfs count="23">
    <xf numFmtId="0" fontId="0" fillId="0" borderId="0"/>
    <xf numFmtId="168" fontId="19" fillId="0" borderId="43" applyFill="0">
      <alignment horizontal="center" vertical="center"/>
    </xf>
    <xf numFmtId="0" fontId="10" fillId="0" borderId="0" applyNumberFormat="0" applyFill="0" applyBorder="0" applyAlignment="0" applyProtection="0">
      <alignment vertical="top"/>
      <protection locked="0"/>
    </xf>
    <xf numFmtId="165" fontId="19" fillId="0" borderId="35">
      <alignment horizontal="center" vertical="center"/>
    </xf>
    <xf numFmtId="164" fontId="5" fillId="0" borderId="0" applyFont="0" applyFill="0" applyBorder="0" applyAlignment="0" applyProtection="0"/>
    <xf numFmtId="0" fontId="19" fillId="0" borderId="43" applyFill="0">
      <alignment horizontal="center" vertical="center"/>
    </xf>
    <xf numFmtId="9" fontId="5" fillId="0" borderId="0" applyFont="0" applyFill="0" applyBorder="0" applyAlignment="0" applyProtection="0"/>
    <xf numFmtId="0" fontId="19" fillId="0" borderId="43" applyFill="0">
      <alignment horizontal="left" vertical="center" indent="2"/>
    </xf>
    <xf numFmtId="0" fontId="21" fillId="0" borderId="0" applyNumberFormat="0" applyFill="0" applyBorder="0" applyAlignment="0" applyProtection="0"/>
    <xf numFmtId="0" fontId="22" fillId="0" borderId="21" applyNumberFormat="0" applyFill="0" applyAlignment="0" applyProtection="0"/>
    <xf numFmtId="0" fontId="23" fillId="0" borderId="22" applyNumberFormat="0" applyFill="0" applyAlignment="0" applyProtection="0"/>
    <xf numFmtId="0" fontId="20" fillId="0" borderId="0"/>
    <xf numFmtId="0" fontId="5" fillId="0" borderId="0"/>
    <xf numFmtId="0" fontId="21" fillId="0" borderId="0" applyNumberFormat="0" applyFill="0" applyBorder="0" applyAlignment="0" applyProtection="0"/>
    <xf numFmtId="0" fontId="48" fillId="0" borderId="0" applyNumberFormat="0" applyFill="0" applyBorder="0" applyAlignment="0" applyProtection="0"/>
    <xf numFmtId="0" fontId="20" fillId="23" borderId="0" applyNumberFormat="0" applyBorder="0" applyAlignment="0" applyProtection="0"/>
    <xf numFmtId="0" fontId="32" fillId="0" borderId="0"/>
    <xf numFmtId="0" fontId="20" fillId="24" borderId="0" applyNumberFormat="0" applyBorder="0" applyAlignment="0" applyProtection="0"/>
    <xf numFmtId="0" fontId="49" fillId="22" borderId="0" applyNumberFormat="0" applyBorder="0" applyAlignment="0" applyProtection="0"/>
    <xf numFmtId="0" fontId="4" fillId="0" borderId="0"/>
    <xf numFmtId="9" fontId="50" fillId="0" borderId="0" applyFont="0" applyFill="0" applyBorder="0" applyAlignment="0" applyProtection="0"/>
    <xf numFmtId="0" fontId="3" fillId="0" borderId="0"/>
    <xf numFmtId="9" fontId="57" fillId="0" borderId="0" applyFont="0" applyFill="0" applyBorder="0" applyAlignment="0" applyProtection="0"/>
  </cellStyleXfs>
  <cellXfs count="768">
    <xf numFmtId="0" fontId="0" fillId="0" borderId="0" xfId="0"/>
    <xf numFmtId="0" fontId="0" fillId="0" borderId="0" xfId="0" applyAlignment="1">
      <alignment horizontal="center"/>
    </xf>
    <xf numFmtId="0" fontId="9" fillId="0" borderId="0" xfId="0" applyFont="1"/>
    <xf numFmtId="0" fontId="0" fillId="0" borderId="0" xfId="0" applyAlignment="1">
      <alignment horizontal="left"/>
    </xf>
    <xf numFmtId="0" fontId="11" fillId="0" borderId="0" xfId="0" applyFont="1"/>
    <xf numFmtId="0" fontId="7" fillId="0" borderId="1" xfId="0" applyFont="1" applyBorder="1" applyAlignment="1">
      <alignment horizontal="left" vertical="top" wrapText="1"/>
    </xf>
    <xf numFmtId="0" fontId="7" fillId="0" borderId="2" xfId="0" applyFont="1" applyBorder="1" applyAlignment="1">
      <alignment horizontal="left" vertical="top" wrapText="1" indent="2"/>
    </xf>
    <xf numFmtId="0" fontId="12" fillId="0" borderId="0" xfId="0" applyFont="1"/>
    <xf numFmtId="0" fontId="8" fillId="0" borderId="0" xfId="0" applyFont="1" applyAlignment="1">
      <alignment vertical="center"/>
    </xf>
    <xf numFmtId="0" fontId="7" fillId="0" borderId="1" xfId="0" applyFont="1" applyBorder="1" applyAlignment="1">
      <alignment horizontal="left" vertical="center" wrapText="1"/>
    </xf>
    <xf numFmtId="0" fontId="12" fillId="0" borderId="0" xfId="0" applyFont="1" applyAlignment="1">
      <alignment vertical="center"/>
    </xf>
    <xf numFmtId="0" fontId="7" fillId="0" borderId="2" xfId="0" applyFont="1" applyBorder="1" applyAlignment="1">
      <alignment horizontal="left" vertical="center" wrapText="1" indent="2"/>
    </xf>
    <xf numFmtId="0" fontId="13" fillId="2" borderId="3" xfId="0" applyFont="1" applyFill="1" applyBorder="1" applyAlignment="1">
      <alignment horizontal="left" vertical="center" wrapText="1" indent="2"/>
    </xf>
    <xf numFmtId="0" fontId="13" fillId="2" borderId="4" xfId="0" applyFont="1" applyFill="1" applyBorder="1" applyAlignment="1">
      <alignment horizontal="left" vertical="center" wrapText="1"/>
    </xf>
    <xf numFmtId="0" fontId="0" fillId="0" borderId="0" xfId="0" applyAlignment="1">
      <alignment vertical="center"/>
    </xf>
    <xf numFmtId="0" fontId="9" fillId="0" borderId="5" xfId="0" applyFont="1" applyBorder="1"/>
    <xf numFmtId="0" fontId="9" fillId="0" borderId="6" xfId="0" applyFont="1" applyBorder="1"/>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0" fillId="0" borderId="5" xfId="0" applyBorder="1"/>
    <xf numFmtId="0" fontId="16" fillId="0" borderId="0" xfId="0" applyFont="1"/>
    <xf numFmtId="0" fontId="25" fillId="0" borderId="0" xfId="0" applyFont="1" applyAlignment="1">
      <alignment horizontal="center" vertical="center"/>
    </xf>
    <xf numFmtId="0" fontId="26" fillId="0" borderId="0" xfId="0" applyFont="1" applyAlignment="1">
      <alignment horizontal="center"/>
    </xf>
    <xf numFmtId="0" fontId="26" fillId="0" borderId="0" xfId="0" applyFont="1"/>
    <xf numFmtId="0" fontId="17" fillId="0" borderId="0" xfId="0" applyFont="1"/>
    <xf numFmtId="0" fontId="0" fillId="0" borderId="27" xfId="0" applyBorder="1"/>
    <xf numFmtId="0" fontId="0" fillId="0" borderId="28" xfId="0" applyBorder="1"/>
    <xf numFmtId="0" fontId="0" fillId="0" borderId="27"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20" fillId="0" borderId="0" xfId="11" applyAlignment="1">
      <alignment wrapText="1"/>
    </xf>
    <xf numFmtId="0" fontId="21" fillId="0" borderId="0" xfId="8" applyAlignment="1">
      <alignment horizontal="left"/>
    </xf>
    <xf numFmtId="0" fontId="27" fillId="0" borderId="0" xfId="0" applyFont="1" applyAlignment="1">
      <alignment horizontal="left"/>
    </xf>
    <xf numFmtId="0" fontId="28" fillId="0" borderId="0" xfId="0" applyFont="1"/>
    <xf numFmtId="0" fontId="28" fillId="0" borderId="0" xfId="0" applyFont="1" applyAlignment="1">
      <alignment horizontal="center"/>
    </xf>
    <xf numFmtId="0" fontId="20" fillId="0" borderId="0" xfId="11"/>
    <xf numFmtId="0" fontId="0" fillId="0" borderId="35" xfId="0" applyBorder="1" applyAlignment="1">
      <alignment horizontal="center" vertical="center"/>
    </xf>
    <xf numFmtId="0" fontId="0" fillId="0" borderId="39" xfId="0" applyBorder="1"/>
    <xf numFmtId="167" fontId="29" fillId="8" borderId="40" xfId="0" applyNumberFormat="1" applyFont="1" applyFill="1" applyBorder="1" applyAlignment="1">
      <alignment horizontal="center" vertical="center"/>
    </xf>
    <xf numFmtId="167" fontId="29" fillId="8" borderId="0" xfId="0" applyNumberFormat="1" applyFont="1" applyFill="1" applyAlignment="1">
      <alignment horizontal="center" vertical="center"/>
    </xf>
    <xf numFmtId="167" fontId="29" fillId="8" borderId="34" xfId="0" applyNumberFormat="1" applyFont="1" applyFill="1" applyBorder="1" applyAlignment="1">
      <alignment horizontal="center" vertical="center"/>
    </xf>
    <xf numFmtId="0" fontId="30" fillId="9" borderId="37" xfId="0" applyFont="1" applyFill="1" applyBorder="1" applyAlignment="1">
      <alignment horizontal="left" vertical="center" indent="1"/>
    </xf>
    <xf numFmtId="0" fontId="30" fillId="9" borderId="37" xfId="0" applyFont="1" applyFill="1" applyBorder="1" applyAlignment="1">
      <alignment horizontal="center" vertical="center" wrapText="1"/>
    </xf>
    <xf numFmtId="0" fontId="31" fillId="10" borderId="41" xfId="0" applyFont="1" applyFill="1" applyBorder="1" applyAlignment="1">
      <alignment horizontal="center" vertical="center" shrinkToFit="1"/>
    </xf>
    <xf numFmtId="0" fontId="0" fillId="0" borderId="0" xfId="0" applyAlignment="1">
      <alignment wrapText="1"/>
    </xf>
    <xf numFmtId="0" fontId="0" fillId="0" borderId="42" xfId="0" applyBorder="1" applyAlignment="1">
      <alignment vertical="center"/>
    </xf>
    <xf numFmtId="0" fontId="24" fillId="11" borderId="43" xfId="0" applyFont="1" applyFill="1" applyBorder="1" applyAlignment="1">
      <alignment horizontal="left" vertical="center" indent="1"/>
    </xf>
    <xf numFmtId="0" fontId="19" fillId="11" borderId="43" xfId="5" applyFill="1">
      <alignment horizontal="center" vertical="center"/>
    </xf>
    <xf numFmtId="9" fontId="32" fillId="11" borderId="43" xfId="6" applyFont="1" applyFill="1" applyBorder="1" applyAlignment="1">
      <alignment horizontal="center" vertical="center"/>
    </xf>
    <xf numFmtId="168" fontId="0" fillId="11" borderId="43" xfId="0" applyNumberFormat="1" applyFill="1" applyBorder="1" applyAlignment="1">
      <alignment horizontal="center" vertical="center"/>
    </xf>
    <xf numFmtId="168" fontId="32" fillId="11" borderId="43" xfId="0" applyNumberFormat="1" applyFont="1" applyFill="1" applyBorder="1" applyAlignment="1">
      <alignment horizontal="center" vertical="center"/>
    </xf>
    <xf numFmtId="0" fontId="32" fillId="0" borderId="43" xfId="0" applyFont="1" applyBorder="1" applyAlignment="1">
      <alignment horizontal="center" vertical="center"/>
    </xf>
    <xf numFmtId="0" fontId="19" fillId="12" borderId="43" xfId="7" applyFill="1">
      <alignment horizontal="left" vertical="center" indent="2"/>
    </xf>
    <xf numFmtId="0" fontId="19" fillId="12" borderId="43" xfId="5" applyFill="1">
      <alignment horizontal="center" vertical="center"/>
    </xf>
    <xf numFmtId="9" fontId="32" fillId="12" borderId="43" xfId="6" applyFont="1" applyFill="1" applyBorder="1" applyAlignment="1">
      <alignment horizontal="center" vertical="center"/>
    </xf>
    <xf numFmtId="168" fontId="19" fillId="12" borderId="43" xfId="1" applyFill="1">
      <alignment horizontal="center" vertical="center"/>
    </xf>
    <xf numFmtId="0" fontId="0" fillId="0" borderId="42" xfId="0" applyBorder="1" applyAlignment="1">
      <alignment horizontal="right" vertical="center"/>
    </xf>
    <xf numFmtId="0" fontId="24" fillId="13" borderId="43" xfId="0" applyFont="1" applyFill="1" applyBorder="1" applyAlignment="1">
      <alignment horizontal="left" vertical="center" indent="1"/>
    </xf>
    <xf numFmtId="0" fontId="19" fillId="13" borderId="43" xfId="5" applyFill="1">
      <alignment horizontal="center" vertical="center"/>
    </xf>
    <xf numFmtId="9" fontId="32" fillId="13" borderId="43" xfId="6" applyFont="1" applyFill="1" applyBorder="1" applyAlignment="1">
      <alignment horizontal="center" vertical="center"/>
    </xf>
    <xf numFmtId="168" fontId="0" fillId="13" borderId="43" xfId="0" applyNumberFormat="1" applyFill="1" applyBorder="1" applyAlignment="1">
      <alignment horizontal="center" vertical="center"/>
    </xf>
    <xf numFmtId="168" fontId="32" fillId="13" borderId="43" xfId="0" applyNumberFormat="1" applyFont="1" applyFill="1" applyBorder="1" applyAlignment="1">
      <alignment horizontal="center" vertical="center"/>
    </xf>
    <xf numFmtId="0" fontId="19" fillId="14" borderId="43" xfId="7" applyFill="1">
      <alignment horizontal="left" vertical="center" indent="2"/>
    </xf>
    <xf numFmtId="0" fontId="19" fillId="14" borderId="43" xfId="5" applyFill="1">
      <alignment horizontal="center" vertical="center"/>
    </xf>
    <xf numFmtId="9" fontId="32" fillId="14" borderId="43" xfId="6" applyFont="1" applyFill="1" applyBorder="1" applyAlignment="1">
      <alignment horizontal="center" vertical="center"/>
    </xf>
    <xf numFmtId="168" fontId="19" fillId="14" borderId="43" xfId="1" applyFill="1">
      <alignment horizontal="center" vertical="center"/>
    </xf>
    <xf numFmtId="0" fontId="24" fillId="15" borderId="43" xfId="0" applyFont="1" applyFill="1" applyBorder="1" applyAlignment="1">
      <alignment horizontal="left" vertical="center" indent="1"/>
    </xf>
    <xf numFmtId="0" fontId="19" fillId="15" borderId="43" xfId="5" applyFill="1">
      <alignment horizontal="center" vertical="center"/>
    </xf>
    <xf numFmtId="9" fontId="32" fillId="15" borderId="43" xfId="6" applyFont="1" applyFill="1" applyBorder="1" applyAlignment="1">
      <alignment horizontal="center" vertical="center"/>
    </xf>
    <xf numFmtId="168" fontId="0" fillId="15" borderId="43" xfId="0" applyNumberFormat="1" applyFill="1" applyBorder="1" applyAlignment="1">
      <alignment horizontal="center" vertical="center"/>
    </xf>
    <xf numFmtId="168" fontId="32" fillId="15" borderId="43" xfId="0" applyNumberFormat="1" applyFont="1" applyFill="1" applyBorder="1" applyAlignment="1">
      <alignment horizontal="center" vertical="center"/>
    </xf>
    <xf numFmtId="0" fontId="19" fillId="16" borderId="43" xfId="7" applyFill="1">
      <alignment horizontal="left" vertical="center" indent="2"/>
    </xf>
    <xf numFmtId="0" fontId="19" fillId="16" borderId="43" xfId="5" applyFill="1">
      <alignment horizontal="center" vertical="center"/>
    </xf>
    <xf numFmtId="9" fontId="32" fillId="16" borderId="43" xfId="6" applyFont="1" applyFill="1" applyBorder="1" applyAlignment="1">
      <alignment horizontal="center" vertical="center"/>
    </xf>
    <xf numFmtId="168" fontId="19" fillId="16" borderId="43" xfId="1" applyFill="1">
      <alignment horizontal="center" vertical="center"/>
    </xf>
    <xf numFmtId="0" fontId="24" fillId="17" borderId="43" xfId="0" applyFont="1" applyFill="1" applyBorder="1" applyAlignment="1">
      <alignment horizontal="left" vertical="center" indent="1"/>
    </xf>
    <xf numFmtId="0" fontId="19" fillId="17" borderId="43" xfId="5" applyFill="1">
      <alignment horizontal="center" vertical="center"/>
    </xf>
    <xf numFmtId="9" fontId="32" fillId="17" borderId="43" xfId="6" applyFont="1" applyFill="1" applyBorder="1" applyAlignment="1">
      <alignment horizontal="center" vertical="center"/>
    </xf>
    <xf numFmtId="168" fontId="0" fillId="17" borderId="43" xfId="0" applyNumberFormat="1" applyFill="1" applyBorder="1" applyAlignment="1">
      <alignment horizontal="center" vertical="center"/>
    </xf>
    <xf numFmtId="168" fontId="32" fillId="17" borderId="43" xfId="0" applyNumberFormat="1" applyFont="1" applyFill="1" applyBorder="1" applyAlignment="1">
      <alignment horizontal="center" vertical="center"/>
    </xf>
    <xf numFmtId="0" fontId="19" fillId="18" borderId="43" xfId="7" applyFill="1">
      <alignment horizontal="left" vertical="center" indent="2"/>
    </xf>
    <xf numFmtId="0" fontId="19" fillId="18" borderId="43" xfId="5" applyFill="1">
      <alignment horizontal="center" vertical="center"/>
    </xf>
    <xf numFmtId="9" fontId="32" fillId="18" borderId="43" xfId="6" applyFont="1" applyFill="1" applyBorder="1" applyAlignment="1">
      <alignment horizontal="center" vertical="center"/>
    </xf>
    <xf numFmtId="168" fontId="19" fillId="18" borderId="43" xfId="1" applyFill="1">
      <alignment horizontal="center" vertical="center"/>
    </xf>
    <xf numFmtId="0" fontId="19" fillId="0" borderId="43" xfId="7">
      <alignment horizontal="left" vertical="center" indent="2"/>
    </xf>
    <xf numFmtId="0" fontId="19" fillId="0" borderId="43" xfId="5">
      <alignment horizontal="center" vertical="center"/>
    </xf>
    <xf numFmtId="9" fontId="32" fillId="0" borderId="43" xfId="6" applyFont="1" applyBorder="1" applyAlignment="1">
      <alignment horizontal="center" vertical="center"/>
    </xf>
    <xf numFmtId="168" fontId="19" fillId="0" borderId="43" xfId="1">
      <alignment horizontal="center" vertical="center"/>
    </xf>
    <xf numFmtId="0" fontId="33" fillId="19" borderId="43" xfId="0" applyFont="1" applyFill="1" applyBorder="1" applyAlignment="1">
      <alignment horizontal="left" vertical="center" indent="1"/>
    </xf>
    <xf numFmtId="0" fontId="33" fillId="19" borderId="43" xfId="0" applyFont="1" applyFill="1" applyBorder="1" applyAlignment="1">
      <alignment horizontal="center" vertical="center"/>
    </xf>
    <xf numFmtId="9" fontId="32" fillId="19" borderId="43" xfId="6" applyFont="1" applyFill="1" applyBorder="1" applyAlignment="1">
      <alignment horizontal="center" vertical="center"/>
    </xf>
    <xf numFmtId="168" fontId="34" fillId="19" borderId="43" xfId="0" applyNumberFormat="1" applyFont="1" applyFill="1" applyBorder="1" applyAlignment="1">
      <alignment horizontal="left" vertical="center"/>
    </xf>
    <xf numFmtId="168" fontId="32" fillId="19" borderId="43" xfId="0" applyNumberFormat="1" applyFont="1" applyFill="1" applyBorder="1" applyAlignment="1">
      <alignment horizontal="center" vertical="center"/>
    </xf>
    <xf numFmtId="0" fontId="32" fillId="19" borderId="43" xfId="0" applyFont="1" applyFill="1" applyBorder="1" applyAlignment="1">
      <alignment horizontal="center" vertical="center"/>
    </xf>
    <xf numFmtId="0" fontId="0" fillId="19" borderId="42" xfId="0" applyFill="1" applyBorder="1" applyAlignment="1">
      <alignment vertical="center"/>
    </xf>
    <xf numFmtId="0" fontId="0" fillId="0" borderId="0" xfId="0" applyAlignment="1">
      <alignment horizontal="right" vertical="center"/>
    </xf>
    <xf numFmtId="0" fontId="35" fillId="0" borderId="0" xfId="0" applyFont="1"/>
    <xf numFmtId="0" fontId="20" fillId="0" borderId="0" xfId="0" applyFont="1" applyAlignment="1">
      <alignment horizontal="center"/>
    </xf>
    <xf numFmtId="0" fontId="36" fillId="0" borderId="0" xfId="2" applyFont="1" applyAlignment="1" applyProtection="1"/>
    <xf numFmtId="0" fontId="22" fillId="0" borderId="21" xfId="9" applyAlignment="1">
      <alignment vertical="top" wrapText="1"/>
    </xf>
    <xf numFmtId="0" fontId="9" fillId="0" borderId="0" xfId="0" applyFont="1" applyAlignment="1">
      <alignment horizontal="center"/>
    </xf>
    <xf numFmtId="0" fontId="17" fillId="0" borderId="23" xfId="0" applyFont="1" applyBorder="1" applyAlignment="1">
      <alignment horizontal="center" vertical="center" wrapText="1"/>
    </xf>
    <xf numFmtId="0" fontId="17"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44" xfId="0" applyFont="1" applyBorder="1" applyAlignment="1">
      <alignment horizontal="center" vertical="top" wrapText="1"/>
    </xf>
    <xf numFmtId="164" fontId="16" fillId="0" borderId="23" xfId="4" applyFont="1" applyFill="1" applyBorder="1" applyAlignment="1">
      <alignment vertical="center" wrapText="1"/>
    </xf>
    <xf numFmtId="0" fontId="16" fillId="0" borderId="44" xfId="0" applyFont="1" applyBorder="1" applyAlignment="1">
      <alignment horizontal="center" vertical="center" wrapText="1"/>
    </xf>
    <xf numFmtId="0" fontId="16" fillId="0" borderId="49" xfId="0" applyFont="1" applyBorder="1" applyAlignment="1">
      <alignment horizontal="center" vertical="center" wrapText="1"/>
    </xf>
    <xf numFmtId="0" fontId="16" fillId="0" borderId="26"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3"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24" xfId="0" applyFont="1" applyBorder="1" applyAlignment="1">
      <alignment horizontal="center" vertical="center" wrapText="1"/>
    </xf>
    <xf numFmtId="0" fontId="8" fillId="5" borderId="7" xfId="0" applyFont="1" applyFill="1" applyBorder="1" applyAlignment="1">
      <alignment vertical="center"/>
    </xf>
    <xf numFmtId="0" fontId="17" fillId="0" borderId="26" xfId="0" applyFont="1" applyBorder="1" applyAlignment="1">
      <alignment horizontal="center" vertical="center" wrapText="1"/>
    </xf>
    <xf numFmtId="0" fontId="16" fillId="0" borderId="50" xfId="0" applyFont="1" applyBorder="1" applyAlignment="1">
      <alignment horizontal="center" vertical="center" wrapText="1"/>
    </xf>
    <xf numFmtId="0" fontId="16" fillId="0" borderId="58" xfId="0" applyFont="1" applyBorder="1" applyAlignment="1">
      <alignment horizontal="center" vertical="center" wrapText="1"/>
    </xf>
    <xf numFmtId="14" fontId="16" fillId="0" borderId="26" xfId="0" applyNumberFormat="1" applyFont="1" applyBorder="1" applyAlignment="1">
      <alignment horizontal="center" vertical="center" wrapText="1"/>
    </xf>
    <xf numFmtId="0" fontId="16" fillId="0" borderId="26" xfId="0" applyFont="1" applyBorder="1" applyAlignment="1">
      <alignment horizontal="center" vertical="top" wrapText="1"/>
    </xf>
    <xf numFmtId="164" fontId="16" fillId="0" borderId="26" xfId="4" applyFont="1" applyFill="1" applyBorder="1" applyAlignment="1">
      <alignment vertical="center" wrapText="1"/>
    </xf>
    <xf numFmtId="0" fontId="38" fillId="0" borderId="46" xfId="0" applyFont="1" applyBorder="1" applyAlignment="1">
      <alignment horizontal="left" vertical="center" wrapText="1"/>
    </xf>
    <xf numFmtId="0" fontId="38" fillId="0" borderId="45" xfId="0" applyFont="1" applyBorder="1" applyAlignment="1">
      <alignment horizontal="left" vertical="center" wrapText="1"/>
    </xf>
    <xf numFmtId="0" fontId="16" fillId="0" borderId="45" xfId="0" applyFont="1" applyBorder="1" applyAlignment="1">
      <alignment horizontal="left" vertical="top" wrapText="1"/>
    </xf>
    <xf numFmtId="0" fontId="5" fillId="0" borderId="52" xfId="0" applyFont="1" applyBorder="1"/>
    <xf numFmtId="0" fontId="5" fillId="0" borderId="1" xfId="0" applyFont="1" applyBorder="1"/>
    <xf numFmtId="0" fontId="40" fillId="0" borderId="60" xfId="0" applyFont="1" applyBorder="1" applyAlignment="1">
      <alignment vertical="center"/>
    </xf>
    <xf numFmtId="0" fontId="5" fillId="0" borderId="62" xfId="0" applyFont="1" applyBorder="1"/>
    <xf numFmtId="0" fontId="8" fillId="5" borderId="63" xfId="0" applyFont="1" applyFill="1" applyBorder="1" applyAlignment="1">
      <alignment vertical="center"/>
    </xf>
    <xf numFmtId="0" fontId="37" fillId="5" borderId="7" xfId="0" applyFont="1" applyFill="1" applyBorder="1" applyAlignment="1">
      <alignment horizontal="center" vertical="center" wrapText="1"/>
    </xf>
    <xf numFmtId="0" fontId="37" fillId="5" borderId="16" xfId="0" applyFont="1" applyFill="1" applyBorder="1" applyAlignment="1">
      <alignment horizontal="center" vertical="center" wrapText="1"/>
    </xf>
    <xf numFmtId="0" fontId="37" fillId="5" borderId="54" xfId="0" applyFont="1" applyFill="1" applyBorder="1" applyAlignment="1">
      <alignment horizontal="center" vertical="center" wrapText="1"/>
    </xf>
    <xf numFmtId="0" fontId="37" fillId="5" borderId="64" xfId="0" applyFont="1" applyFill="1" applyBorder="1" applyAlignment="1">
      <alignment horizontal="center" vertical="center" wrapText="1"/>
    </xf>
    <xf numFmtId="0" fontId="37" fillId="5" borderId="65" xfId="0" applyFont="1" applyFill="1" applyBorder="1" applyAlignment="1">
      <alignment horizontal="center" vertical="center" wrapText="1"/>
    </xf>
    <xf numFmtId="0" fontId="37" fillId="5" borderId="66" xfId="0" applyFont="1" applyFill="1" applyBorder="1" applyAlignment="1">
      <alignment horizontal="center" vertical="center" wrapText="1"/>
    </xf>
    <xf numFmtId="0" fontId="37" fillId="5" borderId="16" xfId="0" applyFont="1" applyFill="1" applyBorder="1" applyAlignment="1">
      <alignment horizontal="left" vertical="center" wrapText="1"/>
    </xf>
    <xf numFmtId="0" fontId="8" fillId="5" borderId="65" xfId="0" applyFont="1" applyFill="1" applyBorder="1" applyAlignment="1">
      <alignment vertical="center"/>
    </xf>
    <xf numFmtId="0" fontId="37" fillId="5" borderId="66" xfId="0" applyFont="1" applyFill="1" applyBorder="1" applyAlignment="1">
      <alignment horizontal="left" vertical="center" wrapText="1"/>
    </xf>
    <xf numFmtId="0" fontId="16" fillId="0" borderId="51" xfId="0" applyFont="1" applyBorder="1" applyAlignment="1">
      <alignment horizontal="center" vertical="top" wrapText="1"/>
    </xf>
    <xf numFmtId="0" fontId="16" fillId="0" borderId="52" xfId="0" applyFont="1" applyBorder="1" applyAlignment="1">
      <alignment horizontal="left" vertical="top" wrapText="1"/>
    </xf>
    <xf numFmtId="0" fontId="16" fillId="0" borderId="49" xfId="0" applyFont="1" applyBorder="1" applyAlignment="1">
      <alignment horizontal="center" vertical="top" wrapText="1"/>
    </xf>
    <xf numFmtId="0" fontId="16" fillId="0" borderId="46" xfId="0" applyFont="1" applyBorder="1" applyAlignment="1">
      <alignment horizontal="left" vertical="top" wrapText="1"/>
    </xf>
    <xf numFmtId="0" fontId="38" fillId="5" borderId="7" xfId="0" applyFont="1" applyFill="1" applyBorder="1" applyAlignment="1">
      <alignment horizontal="center" vertical="center" wrapText="1"/>
    </xf>
    <xf numFmtId="0" fontId="38" fillId="5" borderId="63" xfId="0" applyFont="1" applyFill="1" applyBorder="1" applyAlignment="1">
      <alignment horizontal="left" vertical="center" wrapText="1"/>
    </xf>
    <xf numFmtId="0" fontId="38" fillId="5" borderId="54" xfId="0" applyFont="1" applyFill="1" applyBorder="1" applyAlignment="1">
      <alignment horizontal="center" vertical="center" wrapText="1"/>
    </xf>
    <xf numFmtId="0" fontId="38" fillId="5" borderId="64" xfId="0" applyFont="1" applyFill="1" applyBorder="1" applyAlignment="1">
      <alignment horizontal="center" vertical="center" wrapText="1"/>
    </xf>
    <xf numFmtId="0" fontId="38" fillId="5" borderId="65" xfId="0" applyFont="1" applyFill="1" applyBorder="1" applyAlignment="1">
      <alignment horizontal="center" vertical="center" wrapText="1"/>
    </xf>
    <xf numFmtId="0" fontId="38" fillId="5" borderId="66" xfId="0" applyFont="1" applyFill="1" applyBorder="1" applyAlignment="1">
      <alignment horizontal="left" vertical="center" wrapText="1"/>
    </xf>
    <xf numFmtId="0" fontId="5" fillId="0" borderId="24" xfId="0" applyFont="1" applyBorder="1" applyAlignment="1">
      <alignment horizontal="center" vertical="center" wrapText="1"/>
    </xf>
    <xf numFmtId="0" fontId="38" fillId="0" borderId="52" xfId="0" applyFont="1" applyBorder="1" applyAlignment="1">
      <alignment horizontal="left" vertical="center" wrapText="1"/>
    </xf>
    <xf numFmtId="0" fontId="17" fillId="0" borderId="25" xfId="0" applyFont="1" applyBorder="1" applyAlignment="1">
      <alignment horizontal="center" vertical="center" wrapText="1"/>
    </xf>
    <xf numFmtId="0" fontId="38" fillId="5" borderId="68" xfId="0" applyFont="1" applyFill="1" applyBorder="1" applyAlignment="1">
      <alignment horizontal="center" vertical="center" wrapText="1"/>
    </xf>
    <xf numFmtId="0" fontId="38" fillId="5" borderId="69" xfId="0" applyFont="1" applyFill="1" applyBorder="1" applyAlignment="1">
      <alignment horizontal="center" vertical="center" wrapText="1"/>
    </xf>
    <xf numFmtId="0" fontId="38" fillId="5" borderId="70" xfId="0" applyFont="1" applyFill="1" applyBorder="1" applyAlignment="1">
      <alignment horizontal="left" vertical="center" wrapText="1"/>
    </xf>
    <xf numFmtId="0" fontId="5" fillId="0" borderId="26" xfId="0" applyFont="1" applyBorder="1" applyAlignment="1">
      <alignment horizontal="center" vertical="top" wrapText="1"/>
    </xf>
    <xf numFmtId="0" fontId="16" fillId="0" borderId="73" xfId="0" applyFont="1" applyBorder="1" applyAlignment="1">
      <alignment horizontal="center" vertical="center" wrapText="1"/>
    </xf>
    <xf numFmtId="164" fontId="16" fillId="0" borderId="58" xfId="4" applyFont="1" applyFill="1" applyBorder="1" applyAlignment="1">
      <alignment vertical="center" wrapText="1"/>
    </xf>
    <xf numFmtId="0" fontId="5" fillId="0" borderId="74" xfId="0" applyFont="1" applyBorder="1"/>
    <xf numFmtId="0" fontId="16" fillId="5" borderId="75" xfId="0" applyFont="1" applyFill="1" applyBorder="1" applyAlignment="1">
      <alignment horizontal="center" vertical="center" wrapText="1"/>
    </xf>
    <xf numFmtId="0" fontId="5" fillId="5" borderId="76" xfId="0" applyFont="1" applyFill="1" applyBorder="1"/>
    <xf numFmtId="0" fontId="0" fillId="0" borderId="0" xfId="0" applyAlignment="1">
      <alignment horizontal="left" vertical="center"/>
    </xf>
    <xf numFmtId="0" fontId="40" fillId="0" borderId="67" xfId="0" applyFont="1" applyBorder="1" applyAlignment="1">
      <alignment vertical="center"/>
    </xf>
    <xf numFmtId="0" fontId="40" fillId="0" borderId="61" xfId="0" applyFont="1" applyBorder="1" applyAlignment="1">
      <alignment vertical="center"/>
    </xf>
    <xf numFmtId="0" fontId="41" fillId="0" borderId="58" xfId="0" applyFont="1" applyBorder="1" applyAlignment="1">
      <alignment horizontal="center" vertical="center" wrapText="1"/>
    </xf>
    <xf numFmtId="0" fontId="41" fillId="0" borderId="1"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55" xfId="0" applyFont="1" applyBorder="1" applyAlignment="1">
      <alignment horizontal="center" vertical="center" wrapText="1"/>
    </xf>
    <xf numFmtId="0" fontId="16" fillId="0" borderId="57" xfId="0" applyFont="1" applyBorder="1" applyAlignment="1">
      <alignment horizontal="center" vertical="center" wrapText="1"/>
    </xf>
    <xf numFmtId="0" fontId="41" fillId="0" borderId="56" xfId="0" applyFont="1" applyBorder="1" applyAlignment="1">
      <alignment horizontal="center" vertical="center" wrapText="1"/>
    </xf>
    <xf numFmtId="0" fontId="41" fillId="0" borderId="55" xfId="0" applyFont="1" applyBorder="1" applyAlignment="1">
      <alignment horizontal="center" vertical="center" wrapText="1"/>
    </xf>
    <xf numFmtId="164" fontId="37" fillId="20" borderId="69" xfId="0" applyNumberFormat="1" applyFont="1" applyFill="1" applyBorder="1" applyAlignment="1">
      <alignment horizontal="center" vertical="center" wrapText="1"/>
    </xf>
    <xf numFmtId="164" fontId="38" fillId="20" borderId="65" xfId="4" applyFont="1" applyFill="1" applyBorder="1" applyAlignment="1">
      <alignment horizontal="center" vertical="center" wrapText="1"/>
    </xf>
    <xf numFmtId="164" fontId="38" fillId="20" borderId="69" xfId="4" applyFont="1" applyFill="1" applyBorder="1" applyAlignment="1">
      <alignment horizontal="center" vertical="center" wrapText="1"/>
    </xf>
    <xf numFmtId="164" fontId="16" fillId="20" borderId="54" xfId="4" applyFont="1" applyFill="1" applyBorder="1" applyAlignment="1">
      <alignment vertical="center" wrapText="1"/>
    </xf>
    <xf numFmtId="164" fontId="38" fillId="5" borderId="12" xfId="4" applyFont="1" applyFill="1" applyBorder="1" applyAlignment="1">
      <alignment vertical="center" wrapText="1"/>
    </xf>
    <xf numFmtId="164" fontId="16" fillId="20" borderId="1" xfId="4" applyFont="1" applyFill="1" applyBorder="1" applyAlignment="1">
      <alignment vertical="center" wrapText="1"/>
    </xf>
    <xf numFmtId="0" fontId="5" fillId="0" borderId="0" xfId="0" applyFont="1" applyAlignment="1">
      <alignment horizontal="left" vertical="center" wrapText="1"/>
    </xf>
    <xf numFmtId="0" fontId="38" fillId="0" borderId="0" xfId="0" applyFont="1" applyAlignment="1">
      <alignment horizontal="left" vertical="center"/>
    </xf>
    <xf numFmtId="0" fontId="42" fillId="0" borderId="0" xfId="0" applyFont="1" applyAlignment="1">
      <alignment horizontal="left" vertical="center"/>
    </xf>
    <xf numFmtId="0" fontId="18" fillId="0" borderId="1" xfId="0" applyFont="1" applyBorder="1" applyAlignment="1">
      <alignment horizontal="center" vertical="top" wrapText="1"/>
    </xf>
    <xf numFmtId="0" fontId="17" fillId="0" borderId="1" xfId="0" applyFont="1" applyBorder="1" applyAlignment="1">
      <alignment horizontal="center" vertical="top" wrapText="1"/>
    </xf>
    <xf numFmtId="0" fontId="17" fillId="0" borderId="1" xfId="0" applyFont="1" applyBorder="1" applyAlignment="1">
      <alignment horizontal="center" vertical="center" wrapText="1"/>
    </xf>
    <xf numFmtId="0" fontId="17" fillId="0" borderId="1" xfId="0" applyFont="1" applyBorder="1" applyAlignment="1">
      <alignment horizontal="center"/>
    </xf>
    <xf numFmtId="0" fontId="18" fillId="0" borderId="58" xfId="0" applyFont="1" applyBorder="1" applyAlignment="1">
      <alignment horizontal="center" vertical="top" wrapText="1"/>
    </xf>
    <xf numFmtId="0" fontId="5" fillId="0" borderId="0" xfId="0" applyFont="1"/>
    <xf numFmtId="0" fontId="5" fillId="6" borderId="74" xfId="0" applyFont="1" applyFill="1" applyBorder="1" applyAlignment="1">
      <alignment horizontal="center" vertical="center"/>
    </xf>
    <xf numFmtId="0" fontId="5" fillId="6" borderId="62" xfId="0" applyFont="1" applyFill="1" applyBorder="1" applyAlignment="1">
      <alignment horizontal="center" vertical="center"/>
    </xf>
    <xf numFmtId="164" fontId="18" fillId="6" borderId="62" xfId="0" applyNumberFormat="1" applyFont="1" applyFill="1" applyBorder="1" applyAlignment="1">
      <alignment horizontal="center" vertical="center" wrapText="1"/>
    </xf>
    <xf numFmtId="164" fontId="18" fillId="6" borderId="62" xfId="4" applyFont="1" applyFill="1" applyBorder="1" applyAlignment="1">
      <alignment horizontal="center" vertical="center" wrapText="1"/>
    </xf>
    <xf numFmtId="0" fontId="5" fillId="0" borderId="62" xfId="0" applyFont="1" applyBorder="1" applyAlignment="1">
      <alignment horizontal="center" vertical="center"/>
    </xf>
    <xf numFmtId="0" fontId="17" fillId="0" borderId="58" xfId="0" applyFont="1" applyBorder="1" applyAlignment="1">
      <alignment horizontal="center" vertical="center" wrapText="1"/>
    </xf>
    <xf numFmtId="0" fontId="17" fillId="0" borderId="49" xfId="0" applyFont="1" applyBorder="1" applyAlignment="1">
      <alignment horizontal="center" vertical="center" wrapText="1"/>
    </xf>
    <xf numFmtId="0" fontId="17" fillId="0" borderId="51" xfId="0" applyFont="1" applyBorder="1" applyAlignment="1">
      <alignment horizontal="center" vertical="center" wrapText="1"/>
    </xf>
    <xf numFmtId="0" fontId="17" fillId="0" borderId="44" xfId="0" applyFont="1" applyBorder="1" applyAlignment="1">
      <alignment horizontal="center" vertical="top" wrapText="1"/>
    </xf>
    <xf numFmtId="0" fontId="17" fillId="0" borderId="2" xfId="0" applyFont="1" applyBorder="1" applyAlignment="1">
      <alignment horizontal="center"/>
    </xf>
    <xf numFmtId="0" fontId="17" fillId="0" borderId="48" xfId="0" applyFont="1" applyBorder="1" applyAlignment="1">
      <alignment horizontal="center" vertical="center" wrapText="1"/>
    </xf>
    <xf numFmtId="0" fontId="17" fillId="0" borderId="78" xfId="0" applyFont="1" applyBorder="1" applyAlignment="1">
      <alignment horizontal="center" vertical="top" wrapText="1"/>
    </xf>
    <xf numFmtId="0" fontId="17" fillId="0" borderId="79" xfId="0" applyFont="1" applyBorder="1" applyAlignment="1">
      <alignment horizontal="center" vertical="top" wrapText="1"/>
    </xf>
    <xf numFmtId="0" fontId="17" fillId="0" borderId="48" xfId="0" applyFont="1" applyBorder="1" applyAlignment="1">
      <alignment horizontal="center" vertical="top" wrapText="1"/>
    </xf>
    <xf numFmtId="14" fontId="43" fillId="0" borderId="77" xfId="0" applyNumberFormat="1" applyFont="1" applyBorder="1" applyAlignment="1">
      <alignment horizontal="center" vertical="center" wrapText="1"/>
    </xf>
    <xf numFmtId="0" fontId="17" fillId="0" borderId="47" xfId="0" applyFont="1" applyBorder="1" applyAlignment="1">
      <alignment horizontal="center" vertical="top" wrapText="1"/>
    </xf>
    <xf numFmtId="169" fontId="38" fillId="7" borderId="11" xfId="4" applyNumberFormat="1" applyFont="1" applyFill="1" applyBorder="1" applyAlignment="1">
      <alignment vertical="center" wrapText="1"/>
    </xf>
    <xf numFmtId="0" fontId="16" fillId="5" borderId="65" xfId="0" applyFont="1" applyFill="1" applyBorder="1" applyAlignment="1">
      <alignment horizontal="center" vertical="center" wrapText="1"/>
    </xf>
    <xf numFmtId="0" fontId="39" fillId="0" borderId="26" xfId="0" applyFont="1" applyBorder="1" applyAlignment="1">
      <alignment horizontal="center" vertical="center" wrapText="1"/>
    </xf>
    <xf numFmtId="0" fontId="41" fillId="0" borderId="50" xfId="0" applyFont="1" applyBorder="1" applyAlignment="1">
      <alignment horizontal="center" vertical="center"/>
    </xf>
    <xf numFmtId="0" fontId="38" fillId="5" borderId="54" xfId="0" applyFont="1" applyFill="1" applyBorder="1" applyAlignment="1">
      <alignment horizontal="center" vertical="center"/>
    </xf>
    <xf numFmtId="0" fontId="5" fillId="5" borderId="54" xfId="0" applyFont="1" applyFill="1" applyBorder="1" applyAlignment="1">
      <alignment horizontal="center" vertical="center"/>
    </xf>
    <xf numFmtId="0" fontId="41" fillId="0" borderId="58" xfId="0" applyFont="1" applyBorder="1" applyAlignment="1">
      <alignment horizontal="center" vertical="center"/>
    </xf>
    <xf numFmtId="0" fontId="5" fillId="0" borderId="58" xfId="0" applyFont="1" applyBorder="1" applyAlignment="1">
      <alignment horizontal="center" vertical="center"/>
    </xf>
    <xf numFmtId="0" fontId="41" fillId="0" borderId="1" xfId="0" applyFont="1" applyBorder="1" applyAlignment="1">
      <alignment horizontal="center" vertical="center"/>
    </xf>
    <xf numFmtId="0" fontId="41" fillId="0" borderId="16" xfId="0" applyFont="1" applyBorder="1" applyAlignment="1">
      <alignment vertical="center"/>
    </xf>
    <xf numFmtId="0" fontId="15" fillId="0" borderId="1" xfId="0" applyFont="1" applyBorder="1" applyAlignment="1">
      <alignment horizontal="center" vertical="center"/>
    </xf>
    <xf numFmtId="0" fontId="40" fillId="0" borderId="60" xfId="0" applyFont="1" applyBorder="1" applyAlignment="1">
      <alignment horizontal="left" vertical="center"/>
    </xf>
    <xf numFmtId="0" fontId="40" fillId="0" borderId="61" xfId="0" applyFont="1" applyBorder="1" applyAlignment="1">
      <alignment horizontal="left" vertical="center"/>
    </xf>
    <xf numFmtId="0" fontId="40" fillId="0" borderId="67" xfId="0" applyFont="1" applyBorder="1" applyAlignment="1">
      <alignment horizontal="left" vertical="center"/>
    </xf>
    <xf numFmtId="0" fontId="40" fillId="0" borderId="67" xfId="0" applyFont="1" applyBorder="1" applyAlignment="1">
      <alignment horizontal="left" vertical="center" wrapText="1" shrinkToFit="1"/>
    </xf>
    <xf numFmtId="0" fontId="40" fillId="0" borderId="67" xfId="0" applyFont="1" applyBorder="1" applyAlignment="1">
      <alignment horizontal="left" vertical="center" wrapText="1"/>
    </xf>
    <xf numFmtId="0" fontId="38" fillId="5" borderId="63" xfId="0" applyFont="1" applyFill="1" applyBorder="1" applyAlignment="1">
      <alignment horizontal="left" vertical="center"/>
    </xf>
    <xf numFmtId="0" fontId="40" fillId="0" borderId="72" xfId="0" applyFont="1" applyBorder="1" applyAlignment="1">
      <alignment horizontal="left" vertical="center"/>
    </xf>
    <xf numFmtId="0" fontId="40" fillId="0" borderId="13" xfId="0" applyFont="1" applyBorder="1" applyAlignment="1">
      <alignment horizontal="left" vertical="center"/>
    </xf>
    <xf numFmtId="0" fontId="0" fillId="0" borderId="0" xfId="0" applyAlignment="1">
      <alignment horizontal="center" vertical="center"/>
    </xf>
    <xf numFmtId="0" fontId="11" fillId="0" borderId="0" xfId="0" applyFont="1" applyAlignment="1">
      <alignment horizontal="left" vertical="center"/>
    </xf>
    <xf numFmtId="0" fontId="15" fillId="5" borderId="7" xfId="0" applyFont="1" applyFill="1" applyBorder="1" applyAlignment="1">
      <alignment horizontal="center" vertical="center"/>
    </xf>
    <xf numFmtId="0" fontId="41" fillId="0" borderId="71" xfId="0" applyFont="1" applyBorder="1" applyAlignment="1">
      <alignment horizontal="center" vertical="center"/>
    </xf>
    <xf numFmtId="0" fontId="41" fillId="0" borderId="59" xfId="0" applyFont="1" applyBorder="1" applyAlignment="1">
      <alignment horizontal="center" vertical="center"/>
    </xf>
    <xf numFmtId="0" fontId="51" fillId="0" borderId="0" xfId="0" applyFont="1"/>
    <xf numFmtId="0" fontId="52" fillId="0" borderId="0" xfId="0" applyFont="1"/>
    <xf numFmtId="0" fontId="53" fillId="0" borderId="60" xfId="0" applyFont="1" applyBorder="1" applyAlignment="1">
      <alignment horizontal="left" vertical="center"/>
    </xf>
    <xf numFmtId="0" fontId="45" fillId="6" borderId="0" xfId="0" applyFont="1" applyFill="1" applyAlignment="1">
      <alignment horizontal="center" vertical="center" wrapText="1"/>
    </xf>
    <xf numFmtId="0" fontId="46" fillId="6" borderId="0" xfId="0" applyFont="1" applyFill="1" applyAlignment="1">
      <alignment horizontal="center" vertical="center" wrapText="1"/>
    </xf>
    <xf numFmtId="0" fontId="45" fillId="6" borderId="0" xfId="0" applyFont="1" applyFill="1" applyAlignment="1">
      <alignment horizontal="center" vertical="center"/>
    </xf>
    <xf numFmtId="0" fontId="42" fillId="6" borderId="0" xfId="0" applyFont="1" applyFill="1" applyAlignment="1">
      <alignment horizontal="center"/>
    </xf>
    <xf numFmtId="0" fontId="8" fillId="6" borderId="0" xfId="0" applyFont="1" applyFill="1" applyAlignment="1">
      <alignment vertical="center"/>
    </xf>
    <xf numFmtId="16" fontId="16" fillId="0" borderId="49" xfId="0" applyNumberFormat="1" applyFont="1" applyBorder="1" applyAlignment="1">
      <alignment horizontal="center" vertical="center" wrapText="1"/>
    </xf>
    <xf numFmtId="16" fontId="16" fillId="0" borderId="44" xfId="0" applyNumberFormat="1" applyFont="1" applyBorder="1" applyAlignment="1">
      <alignment horizontal="center" vertical="center" wrapText="1"/>
    </xf>
    <xf numFmtId="16" fontId="16" fillId="0" borderId="44" xfId="0" applyNumberFormat="1" applyFont="1" applyBorder="1" applyAlignment="1">
      <alignment horizontal="center" vertical="top" wrapText="1"/>
    </xf>
    <xf numFmtId="0" fontId="16" fillId="5" borderId="55" xfId="0" applyFont="1" applyFill="1" applyBorder="1" applyAlignment="1">
      <alignment horizontal="center" vertical="center" wrapText="1"/>
    </xf>
    <xf numFmtId="0" fontId="40" fillId="6" borderId="67" xfId="0" applyFont="1" applyFill="1" applyBorder="1" applyAlignment="1">
      <alignment horizontal="left" vertical="center"/>
    </xf>
    <xf numFmtId="0" fontId="16" fillId="6" borderId="56" xfId="0" applyFont="1" applyFill="1" applyBorder="1" applyAlignment="1">
      <alignment horizontal="center" vertical="center" wrapText="1"/>
    </xf>
    <xf numFmtId="0" fontId="54" fillId="6" borderId="0" xfId="0" applyFont="1" applyFill="1" applyAlignment="1">
      <alignment horizontal="center" vertical="center" wrapText="1"/>
    </xf>
    <xf numFmtId="0" fontId="28" fillId="6" borderId="0" xfId="0" applyFont="1" applyFill="1" applyAlignment="1">
      <alignment horizontal="center" vertical="center" wrapText="1"/>
    </xf>
    <xf numFmtId="14" fontId="28" fillId="6" borderId="0" xfId="0" applyNumberFormat="1" applyFont="1" applyFill="1" applyAlignment="1">
      <alignment horizontal="center" vertical="center" wrapText="1"/>
    </xf>
    <xf numFmtId="0" fontId="54" fillId="26" borderId="81" xfId="0" applyFont="1" applyFill="1" applyBorder="1" applyAlignment="1">
      <alignment horizontal="center" vertical="center"/>
    </xf>
    <xf numFmtId="0" fontId="54" fillId="26" borderId="81" xfId="0" applyFont="1" applyFill="1" applyBorder="1" applyAlignment="1">
      <alignment horizontal="center" vertical="center" wrapText="1"/>
    </xf>
    <xf numFmtId="0" fontId="55" fillId="6" borderId="82" xfId="0" applyFont="1" applyFill="1" applyBorder="1" applyAlignment="1">
      <alignment horizontal="center" vertical="center" wrapText="1"/>
    </xf>
    <xf numFmtId="0" fontId="28" fillId="6" borderId="82" xfId="0" applyFont="1" applyFill="1" applyBorder="1" applyAlignment="1">
      <alignment horizontal="center" vertical="center" wrapText="1"/>
    </xf>
    <xf numFmtId="0" fontId="16" fillId="0" borderId="84" xfId="0" applyFont="1" applyBorder="1" applyAlignment="1">
      <alignment horizontal="center" vertical="center" wrapText="1"/>
    </xf>
    <xf numFmtId="0" fontId="16" fillId="0" borderId="85" xfId="0" applyFont="1" applyBorder="1" applyAlignment="1">
      <alignment horizontal="center" vertical="top" wrapText="1"/>
    </xf>
    <xf numFmtId="0" fontId="16" fillId="0" borderId="86"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87" xfId="0" applyFont="1" applyBorder="1" applyAlignment="1">
      <alignment horizontal="center" vertical="center" wrapText="1"/>
    </xf>
    <xf numFmtId="0" fontId="16" fillId="0" borderId="88" xfId="0" applyFont="1" applyBorder="1" applyAlignment="1">
      <alignment horizontal="center" vertical="center" wrapText="1"/>
    </xf>
    <xf numFmtId="0" fontId="16" fillId="0" borderId="89" xfId="0" applyFont="1" applyBorder="1" applyAlignment="1">
      <alignment horizontal="center" vertical="center" wrapText="1"/>
    </xf>
    <xf numFmtId="16" fontId="38" fillId="5" borderId="68" xfId="0" applyNumberFormat="1" applyFont="1" applyFill="1" applyBorder="1" applyAlignment="1">
      <alignment horizontal="center" vertical="center" wrapText="1"/>
    </xf>
    <xf numFmtId="0" fontId="16" fillId="0" borderId="90" xfId="0" applyFont="1" applyBorder="1" applyAlignment="1">
      <alignment horizontal="center" vertical="center" wrapText="1"/>
    </xf>
    <xf numFmtId="0" fontId="39" fillId="0" borderId="88" xfId="0" applyFont="1" applyBorder="1" applyAlignment="1">
      <alignment horizontal="center" vertical="center" wrapText="1"/>
    </xf>
    <xf numFmtId="0" fontId="37" fillId="5" borderId="91" xfId="0" applyFont="1" applyFill="1" applyBorder="1" applyAlignment="1">
      <alignment horizontal="center" vertical="center" wrapText="1"/>
    </xf>
    <xf numFmtId="16" fontId="16" fillId="5" borderId="92" xfId="0" applyNumberFormat="1" applyFont="1" applyFill="1" applyBorder="1" applyAlignment="1">
      <alignment horizontal="center" vertical="center" wrapText="1"/>
    </xf>
    <xf numFmtId="16" fontId="16" fillId="5" borderId="64" xfId="0" applyNumberFormat="1" applyFont="1" applyFill="1" applyBorder="1" applyAlignment="1">
      <alignment horizontal="center" vertical="center" wrapText="1"/>
    </xf>
    <xf numFmtId="16" fontId="38" fillId="5" borderId="64" xfId="0" applyNumberFormat="1" applyFont="1" applyFill="1" applyBorder="1" applyAlignment="1">
      <alignment horizontal="center" vertical="center" wrapText="1"/>
    </xf>
    <xf numFmtId="16" fontId="16" fillId="0" borderId="51" xfId="0" applyNumberFormat="1" applyFont="1" applyBorder="1" applyAlignment="1">
      <alignment horizontal="center" vertical="center" wrapText="1"/>
    </xf>
    <xf numFmtId="16" fontId="16" fillId="5" borderId="75" xfId="0" applyNumberFormat="1" applyFont="1" applyFill="1" applyBorder="1" applyAlignment="1">
      <alignment horizontal="center" vertical="center" wrapText="1"/>
    </xf>
    <xf numFmtId="16" fontId="16" fillId="0" borderId="73" xfId="0" applyNumberFormat="1" applyFont="1" applyBorder="1" applyAlignment="1">
      <alignment horizontal="center" vertical="center" wrapText="1"/>
    </xf>
    <xf numFmtId="0" fontId="44" fillId="5" borderId="65" xfId="0" applyFont="1" applyFill="1" applyBorder="1" applyAlignment="1">
      <alignment horizontal="center" vertical="center" wrapText="1"/>
    </xf>
    <xf numFmtId="0" fontId="38" fillId="5" borderId="65" xfId="0" applyFont="1" applyFill="1" applyBorder="1" applyAlignment="1">
      <alignment horizontal="center" vertical="top" wrapText="1"/>
    </xf>
    <xf numFmtId="0" fontId="56" fillId="21" borderId="1" xfId="0" applyFont="1" applyFill="1" applyBorder="1" applyAlignment="1">
      <alignment vertical="center"/>
    </xf>
    <xf numFmtId="0" fontId="56" fillId="13" borderId="1" xfId="0" applyFont="1" applyFill="1" applyBorder="1" applyAlignment="1">
      <alignment vertical="center"/>
    </xf>
    <xf numFmtId="0" fontId="56" fillId="15" borderId="1" xfId="0" applyFont="1" applyFill="1" applyBorder="1" applyAlignment="1">
      <alignment vertical="center"/>
    </xf>
    <xf numFmtId="0" fontId="56" fillId="17" borderId="1" xfId="0" applyFont="1" applyFill="1" applyBorder="1" applyAlignment="1">
      <alignment vertical="center"/>
    </xf>
    <xf numFmtId="0" fontId="56" fillId="17" borderId="1" xfId="0" applyFont="1" applyFill="1" applyBorder="1" applyAlignment="1">
      <alignment vertical="center" wrapText="1" shrinkToFit="1"/>
    </xf>
    <xf numFmtId="0" fontId="56" fillId="27" borderId="1" xfId="0" applyFont="1" applyFill="1" applyBorder="1" applyAlignment="1">
      <alignment vertical="center"/>
    </xf>
    <xf numFmtId="0" fontId="56" fillId="27" borderId="1" xfId="0" applyFont="1" applyFill="1" applyBorder="1" applyAlignment="1">
      <alignment vertical="center" wrapText="1"/>
    </xf>
    <xf numFmtId="0" fontId="56" fillId="20" borderId="1" xfId="0" applyFont="1" applyFill="1" applyBorder="1" applyAlignment="1">
      <alignment vertical="center"/>
    </xf>
    <xf numFmtId="0" fontId="56" fillId="28" borderId="1" xfId="0" applyFont="1" applyFill="1" applyBorder="1" applyAlignment="1">
      <alignment vertical="center"/>
    </xf>
    <xf numFmtId="0" fontId="8" fillId="5" borderId="1" xfId="0" applyFont="1" applyFill="1" applyBorder="1"/>
    <xf numFmtId="0" fontId="8" fillId="25" borderId="1" xfId="0" applyFont="1" applyFill="1" applyBorder="1"/>
    <xf numFmtId="0" fontId="44" fillId="29" borderId="53" xfId="0" applyFont="1" applyFill="1" applyBorder="1" applyAlignment="1">
      <alignment horizontal="center" vertical="center" wrapText="1"/>
    </xf>
    <xf numFmtId="0" fontId="44" fillId="29" borderId="54" xfId="0" applyFont="1" applyFill="1" applyBorder="1" applyAlignment="1">
      <alignment horizontal="center" vertical="center" wrapText="1"/>
    </xf>
    <xf numFmtId="0" fontId="44" fillId="29" borderId="8" xfId="0" applyFont="1" applyFill="1" applyBorder="1" applyAlignment="1">
      <alignment horizontal="center" vertical="center" wrapText="1"/>
    </xf>
    <xf numFmtId="0" fontId="16" fillId="28" borderId="56" xfId="0" applyFont="1" applyFill="1" applyBorder="1" applyAlignment="1">
      <alignment horizontal="center" vertical="center" wrapText="1"/>
    </xf>
    <xf numFmtId="0" fontId="16" fillId="28" borderId="55" xfId="0" applyFont="1" applyFill="1" applyBorder="1" applyAlignment="1">
      <alignment horizontal="center" vertical="center" wrapText="1"/>
    </xf>
    <xf numFmtId="0" fontId="16" fillId="28" borderId="57" xfId="0" applyFont="1" applyFill="1" applyBorder="1" applyAlignment="1">
      <alignment horizontal="center" vertical="center" wrapText="1"/>
    </xf>
    <xf numFmtId="0" fontId="5" fillId="28" borderId="2" xfId="0" applyFont="1" applyFill="1" applyBorder="1" applyAlignment="1">
      <alignment horizontal="center" vertical="top" wrapText="1"/>
    </xf>
    <xf numFmtId="0" fontId="8" fillId="28" borderId="4" xfId="0" applyFont="1" applyFill="1" applyBorder="1"/>
    <xf numFmtId="0" fontId="8" fillId="28" borderId="1" xfId="0" applyFont="1" applyFill="1" applyBorder="1"/>
    <xf numFmtId="0" fontId="8" fillId="28" borderId="0" xfId="0" applyFont="1" applyFill="1"/>
    <xf numFmtId="0" fontId="16" fillId="21" borderId="56" xfId="0" applyFont="1" applyFill="1" applyBorder="1" applyAlignment="1">
      <alignment horizontal="center" vertical="center" wrapText="1"/>
    </xf>
    <xf numFmtId="0" fontId="16" fillId="13" borderId="56" xfId="0" applyFont="1" applyFill="1" applyBorder="1" applyAlignment="1">
      <alignment horizontal="center" vertical="center" wrapText="1"/>
    </xf>
    <xf numFmtId="0" fontId="16" fillId="13" borderId="55" xfId="0" applyFont="1" applyFill="1" applyBorder="1" applyAlignment="1">
      <alignment horizontal="center" vertical="center" wrapText="1"/>
    </xf>
    <xf numFmtId="0" fontId="16" fillId="15" borderId="56" xfId="0" applyFont="1" applyFill="1" applyBorder="1" applyAlignment="1">
      <alignment horizontal="center" vertical="center" wrapText="1"/>
    </xf>
    <xf numFmtId="0" fontId="16" fillId="17" borderId="56" xfId="0" applyFont="1" applyFill="1" applyBorder="1" applyAlignment="1">
      <alignment horizontal="center" vertical="center" wrapText="1"/>
    </xf>
    <xf numFmtId="0" fontId="16" fillId="27" borderId="56" xfId="0" applyFont="1" applyFill="1" applyBorder="1" applyAlignment="1">
      <alignment horizontal="center" vertical="center" wrapText="1"/>
    </xf>
    <xf numFmtId="0" fontId="16" fillId="27" borderId="55" xfId="0" applyFont="1" applyFill="1" applyBorder="1" applyAlignment="1">
      <alignment horizontal="center" vertical="center" wrapText="1"/>
    </xf>
    <xf numFmtId="0" fontId="16" fillId="20" borderId="55" xfId="0" applyFont="1" applyFill="1" applyBorder="1" applyAlignment="1">
      <alignment horizontal="center" vertical="center" wrapText="1"/>
    </xf>
    <xf numFmtId="0" fontId="17" fillId="20" borderId="2" xfId="0" applyFont="1" applyFill="1" applyBorder="1" applyAlignment="1">
      <alignment horizontal="center" vertical="center" wrapText="1"/>
    </xf>
    <xf numFmtId="0" fontId="17" fillId="28" borderId="2" xfId="0" applyFont="1" applyFill="1" applyBorder="1" applyAlignment="1">
      <alignment horizontal="center"/>
    </xf>
    <xf numFmtId="0" fontId="16" fillId="5" borderId="56" xfId="0" applyFont="1" applyFill="1" applyBorder="1" applyAlignment="1">
      <alignment horizontal="center" vertical="center" wrapText="1"/>
    </xf>
    <xf numFmtId="0" fontId="16" fillId="25" borderId="56" xfId="0" applyFont="1" applyFill="1" applyBorder="1" applyAlignment="1">
      <alignment horizontal="center" vertical="center" wrapText="1"/>
    </xf>
    <xf numFmtId="0" fontId="16" fillId="25" borderId="55" xfId="0" applyFont="1" applyFill="1" applyBorder="1" applyAlignment="1">
      <alignment horizontal="center" vertical="center" wrapText="1"/>
    </xf>
    <xf numFmtId="0" fontId="17" fillId="25" borderId="2" xfId="0" applyFont="1" applyFill="1" applyBorder="1" applyAlignment="1">
      <alignment horizontal="center"/>
    </xf>
    <xf numFmtId="0" fontId="16" fillId="0" borderId="93" xfId="0" applyFont="1" applyBorder="1" applyAlignment="1">
      <alignment horizontal="center" vertical="center" wrapText="1"/>
    </xf>
    <xf numFmtId="0" fontId="59" fillId="0" borderId="0" xfId="12" applyFont="1" applyAlignment="1">
      <alignment horizontal="center"/>
    </xf>
    <xf numFmtId="0" fontId="60" fillId="0" borderId="0" xfId="12" applyFont="1" applyAlignment="1">
      <alignment horizontal="center"/>
    </xf>
    <xf numFmtId="0" fontId="60" fillId="0" borderId="0" xfId="12" applyFont="1"/>
    <xf numFmtId="0" fontId="60" fillId="0" borderId="0" xfId="12" applyFont="1" applyAlignment="1">
      <alignment vertical="center"/>
    </xf>
    <xf numFmtId="0" fontId="61" fillId="30" borderId="0" xfId="12" applyFont="1" applyFill="1" applyAlignment="1">
      <alignment horizontal="left" vertical="center" indent="2"/>
    </xf>
    <xf numFmtId="0" fontId="61" fillId="30" borderId="0" xfId="12" applyFont="1" applyFill="1" applyAlignment="1">
      <alignment horizontal="left" vertical="center"/>
    </xf>
    <xf numFmtId="0" fontId="62" fillId="30" borderId="0" xfId="12" applyFont="1" applyFill="1" applyAlignment="1">
      <alignment vertical="center"/>
    </xf>
    <xf numFmtId="0" fontId="63" fillId="30" borderId="0" xfId="12" applyFont="1" applyFill="1" applyAlignment="1">
      <alignment vertical="center"/>
    </xf>
    <xf numFmtId="0" fontId="63" fillId="30" borderId="0" xfId="12" applyFont="1" applyFill="1" applyAlignment="1">
      <alignment horizontal="right" vertical="center"/>
    </xf>
    <xf numFmtId="0" fontId="60" fillId="6" borderId="94" xfId="12" applyFont="1" applyFill="1" applyBorder="1" applyAlignment="1">
      <alignment horizontal="center"/>
    </xf>
    <xf numFmtId="0" fontId="64" fillId="31" borderId="94" xfId="12" applyFont="1" applyFill="1" applyBorder="1" applyAlignment="1">
      <alignment horizontal="center"/>
    </xf>
    <xf numFmtId="0" fontId="65" fillId="0" borderId="94" xfId="12" applyFont="1" applyBorder="1"/>
    <xf numFmtId="0" fontId="66" fillId="0" borderId="0" xfId="12" applyFont="1"/>
    <xf numFmtId="0" fontId="66" fillId="6" borderId="0" xfId="12" applyFont="1" applyFill="1" applyAlignment="1">
      <alignment horizontal="center"/>
    </xf>
    <xf numFmtId="0" fontId="67" fillId="31" borderId="0" xfId="12" applyFont="1" applyFill="1" applyAlignment="1">
      <alignment horizontal="center" vertical="center"/>
    </xf>
    <xf numFmtId="0" fontId="21" fillId="0" borderId="0" xfId="13" applyAlignment="1" applyProtection="1"/>
    <xf numFmtId="0" fontId="5" fillId="0" borderId="0" xfId="12"/>
    <xf numFmtId="0" fontId="68" fillId="0" borderId="0" xfId="12" applyFont="1" applyAlignment="1">
      <alignment vertical="center"/>
    </xf>
    <xf numFmtId="0" fontId="69" fillId="0" borderId="0" xfId="12" applyFont="1" applyAlignment="1">
      <alignment vertical="center"/>
    </xf>
    <xf numFmtId="0" fontId="60" fillId="6" borderId="0" xfId="12" applyFont="1" applyFill="1" applyAlignment="1">
      <alignment horizontal="center"/>
    </xf>
    <xf numFmtId="0" fontId="64" fillId="31" borderId="0" xfId="12" applyFont="1" applyFill="1" applyAlignment="1">
      <alignment horizontal="center"/>
    </xf>
    <xf numFmtId="0" fontId="65" fillId="0" borderId="0" xfId="12" applyFont="1"/>
    <xf numFmtId="0" fontId="48" fillId="0" borderId="0" xfId="14"/>
    <xf numFmtId="0" fontId="60" fillId="6" borderId="95" xfId="12" applyFont="1" applyFill="1" applyBorder="1" applyAlignment="1">
      <alignment horizontal="center"/>
    </xf>
    <xf numFmtId="0" fontId="64" fillId="31" borderId="95" xfId="12" applyFont="1" applyFill="1" applyBorder="1" applyAlignment="1">
      <alignment horizontal="center"/>
    </xf>
    <xf numFmtId="0" fontId="65" fillId="0" borderId="95" xfId="12" applyFont="1" applyBorder="1"/>
    <xf numFmtId="0" fontId="20" fillId="23" borderId="1" xfId="15" applyBorder="1" applyAlignment="1">
      <alignment horizontal="center"/>
    </xf>
    <xf numFmtId="0" fontId="65" fillId="0" borderId="1" xfId="12" applyFont="1" applyBorder="1" applyAlignment="1">
      <alignment horizontal="center"/>
    </xf>
    <xf numFmtId="14" fontId="70" fillId="0" borderId="96" xfId="16" applyNumberFormat="1" applyFont="1" applyBorder="1" applyAlignment="1">
      <alignment horizontal="center" vertical="center" wrapText="1"/>
    </xf>
    <xf numFmtId="0" fontId="70" fillId="0" borderId="96" xfId="16" applyFont="1" applyBorder="1" applyAlignment="1">
      <alignment horizontal="center" vertical="center" wrapText="1"/>
    </xf>
    <xf numFmtId="14" fontId="71" fillId="0" borderId="1" xfId="12" applyNumberFormat="1" applyFont="1" applyBorder="1" applyAlignment="1">
      <alignment horizontal="center"/>
    </xf>
    <xf numFmtId="0" fontId="0" fillId="0" borderId="1" xfId="12" applyFont="1" applyBorder="1" applyAlignment="1">
      <alignment horizontal="center"/>
    </xf>
    <xf numFmtId="0" fontId="71" fillId="0" borderId="1" xfId="12" applyFont="1" applyBorder="1" applyAlignment="1">
      <alignment horizontal="center"/>
    </xf>
    <xf numFmtId="0" fontId="32" fillId="0" borderId="0" xfId="12" applyFont="1"/>
    <xf numFmtId="0" fontId="72" fillId="0" borderId="0" xfId="12" applyFont="1"/>
    <xf numFmtId="0" fontId="20" fillId="23" borderId="1" xfId="15" applyBorder="1" applyAlignment="1">
      <alignment horizontal="center" wrapText="1"/>
    </xf>
    <xf numFmtId="0" fontId="32" fillId="0" borderId="1" xfId="12" applyFont="1" applyBorder="1"/>
    <xf numFmtId="0" fontId="32" fillId="0" borderId="1" xfId="12" applyFont="1" applyBorder="1" applyAlignment="1">
      <alignment wrapText="1"/>
    </xf>
    <xf numFmtId="1" fontId="32" fillId="0" borderId="1" xfId="12" applyNumberFormat="1" applyFont="1" applyBorder="1" applyAlignment="1">
      <alignment horizontal="center" vertical="top" wrapText="1"/>
    </xf>
    <xf numFmtId="0" fontId="71" fillId="0" borderId="1" xfId="12" applyFont="1" applyBorder="1"/>
    <xf numFmtId="0" fontId="20" fillId="23" borderId="1" xfId="15" applyBorder="1"/>
    <xf numFmtId="0" fontId="32" fillId="0" borderId="0" xfId="16"/>
    <xf numFmtId="9" fontId="32" fillId="0" borderId="0" xfId="6" applyFont="1"/>
    <xf numFmtId="10" fontId="32" fillId="0" borderId="0" xfId="16" applyNumberFormat="1"/>
    <xf numFmtId="0" fontId="32" fillId="12" borderId="0" xfId="16" applyFill="1"/>
    <xf numFmtId="3" fontId="32" fillId="0" borderId="0" xfId="16" applyNumberFormat="1"/>
    <xf numFmtId="170" fontId="32" fillId="0" borderId="0" xfId="16" applyNumberFormat="1"/>
    <xf numFmtId="0" fontId="72" fillId="12" borderId="0" xfId="16" applyFont="1" applyFill="1"/>
    <xf numFmtId="1" fontId="32" fillId="0" borderId="0" xfId="16" applyNumberFormat="1"/>
    <xf numFmtId="3" fontId="20" fillId="24" borderId="0" xfId="17" applyNumberFormat="1"/>
    <xf numFmtId="3" fontId="49" fillId="22" borderId="0" xfId="18" applyNumberFormat="1"/>
    <xf numFmtId="0" fontId="72" fillId="0" borderId="0" xfId="16" applyFont="1"/>
    <xf numFmtId="0" fontId="20" fillId="23" borderId="0" xfId="15"/>
    <xf numFmtId="3" fontId="20" fillId="24" borderId="0" xfId="17" applyNumberFormat="1" applyBorder="1"/>
    <xf numFmtId="3" fontId="49" fillId="22" borderId="0" xfId="18" applyNumberFormat="1" applyBorder="1"/>
    <xf numFmtId="0" fontId="72" fillId="0" borderId="0" xfId="16" applyFont="1" applyAlignment="1">
      <alignment wrapText="1"/>
    </xf>
    <xf numFmtId="3" fontId="20" fillId="24" borderId="73" xfId="17" applyNumberFormat="1" applyBorder="1"/>
    <xf numFmtId="3" fontId="49" fillId="22" borderId="97" xfId="18" applyNumberFormat="1" applyBorder="1"/>
    <xf numFmtId="3" fontId="32" fillId="0" borderId="97" xfId="16" applyNumberFormat="1" applyBorder="1"/>
    <xf numFmtId="0" fontId="32" fillId="0" borderId="97" xfId="16" applyBorder="1"/>
    <xf numFmtId="0" fontId="72" fillId="0" borderId="77" xfId="16" applyFont="1" applyBorder="1" applyAlignment="1">
      <alignment horizontal="left" vertical="center" wrapText="1"/>
    </xf>
    <xf numFmtId="0" fontId="32" fillId="0" borderId="98" xfId="16" applyBorder="1"/>
    <xf numFmtId="9" fontId="49" fillId="22" borderId="99" xfId="18" applyNumberFormat="1" applyBorder="1"/>
    <xf numFmtId="9" fontId="49" fillId="0" borderId="99" xfId="18" applyNumberFormat="1" applyFill="1" applyBorder="1"/>
    <xf numFmtId="9" fontId="32" fillId="0" borderId="99" xfId="16" applyNumberFormat="1" applyBorder="1"/>
    <xf numFmtId="0" fontId="32" fillId="0" borderId="99" xfId="16" applyBorder="1"/>
    <xf numFmtId="0" fontId="32" fillId="0" borderId="100" xfId="16" applyBorder="1" applyAlignment="1">
      <alignment horizontal="left" vertical="center"/>
    </xf>
    <xf numFmtId="3" fontId="32" fillId="0" borderId="1" xfId="16" applyNumberFormat="1" applyBorder="1"/>
    <xf numFmtId="0" fontId="32" fillId="0" borderId="97" xfId="16" applyBorder="1" applyAlignment="1">
      <alignment wrapText="1"/>
    </xf>
    <xf numFmtId="0" fontId="72" fillId="0" borderId="77" xfId="16" applyFont="1" applyBorder="1" applyAlignment="1">
      <alignment horizontal="left" vertical="center"/>
    </xf>
    <xf numFmtId="3" fontId="32" fillId="0" borderId="97" xfId="16" applyNumberFormat="1" applyBorder="1" applyAlignment="1">
      <alignment wrapText="1"/>
    </xf>
    <xf numFmtId="3" fontId="72" fillId="0" borderId="77" xfId="16" applyNumberFormat="1" applyFont="1" applyBorder="1" applyAlignment="1">
      <alignment horizontal="left" vertical="center"/>
    </xf>
    <xf numFmtId="169" fontId="72" fillId="30" borderId="0" xfId="16" applyNumberFormat="1" applyFont="1" applyFill="1"/>
    <xf numFmtId="0" fontId="72" fillId="0" borderId="1" xfId="16" applyFont="1" applyBorder="1" applyAlignment="1">
      <alignment vertical="center"/>
    </xf>
    <xf numFmtId="169" fontId="58" fillId="24" borderId="0" xfId="17" applyNumberFormat="1" applyFont="1"/>
    <xf numFmtId="169" fontId="72" fillId="0" borderId="1" xfId="16" applyNumberFormat="1" applyFont="1" applyBorder="1" applyAlignment="1">
      <alignment horizontal="center" vertical="center"/>
    </xf>
    <xf numFmtId="0" fontId="20" fillId="24" borderId="0" xfId="17"/>
    <xf numFmtId="0" fontId="20" fillId="30" borderId="0" xfId="16" applyFont="1" applyFill="1" applyAlignment="1">
      <alignment horizontal="right"/>
    </xf>
    <xf numFmtId="0" fontId="73" fillId="22" borderId="0" xfId="18" applyFont="1" applyAlignment="1">
      <alignment horizontal="center" vertical="center"/>
    </xf>
    <xf numFmtId="0" fontId="58" fillId="23" borderId="0" xfId="15" applyFont="1" applyAlignment="1">
      <alignment vertical="center"/>
    </xf>
    <xf numFmtId="171" fontId="20" fillId="23" borderId="0" xfId="15" applyNumberFormat="1" applyAlignment="1">
      <alignment horizontal="center"/>
    </xf>
    <xf numFmtId="17" fontId="20" fillId="23" borderId="0" xfId="15" applyNumberFormat="1" applyAlignment="1">
      <alignment horizontal="center"/>
    </xf>
    <xf numFmtId="0" fontId="74" fillId="22" borderId="1" xfId="18" applyFont="1" applyBorder="1" applyAlignment="1">
      <alignment horizontal="center" vertical="center"/>
    </xf>
    <xf numFmtId="0" fontId="58" fillId="23" borderId="0" xfId="15" applyFont="1"/>
    <xf numFmtId="0" fontId="3" fillId="0" borderId="0" xfId="16" applyFont="1"/>
    <xf numFmtId="3" fontId="3" fillId="24" borderId="0" xfId="17" applyNumberFormat="1" applyFont="1"/>
    <xf numFmtId="4" fontId="49" fillId="22" borderId="0" xfId="18" applyNumberFormat="1"/>
    <xf numFmtId="4" fontId="32" fillId="0" borderId="0" xfId="16" applyNumberFormat="1"/>
    <xf numFmtId="3" fontId="3" fillId="0" borderId="0" xfId="17" applyNumberFormat="1" applyFont="1" applyFill="1" applyBorder="1"/>
    <xf numFmtId="3" fontId="3" fillId="0" borderId="73" xfId="17" applyNumberFormat="1" applyFont="1" applyFill="1" applyBorder="1"/>
    <xf numFmtId="0" fontId="72" fillId="0" borderId="77" xfId="16" applyFont="1" applyBorder="1" applyAlignment="1">
      <alignment vertical="center"/>
    </xf>
    <xf numFmtId="0" fontId="3" fillId="0" borderId="98" xfId="16" applyFont="1" applyBorder="1"/>
    <xf numFmtId="0" fontId="32" fillId="0" borderId="100" xfId="16" applyBorder="1" applyAlignment="1">
      <alignment vertical="center"/>
    </xf>
    <xf numFmtId="3" fontId="72" fillId="0" borderId="77" xfId="16" applyNumberFormat="1" applyFont="1" applyBorder="1" applyAlignment="1">
      <alignment vertical="center"/>
    </xf>
    <xf numFmtId="169" fontId="24" fillId="24" borderId="0" xfId="17" applyNumberFormat="1" applyFont="1"/>
    <xf numFmtId="0" fontId="3" fillId="24" borderId="0" xfId="17" applyFont="1"/>
    <xf numFmtId="0" fontId="73" fillId="22" borderId="0" xfId="18" applyFont="1" applyAlignment="1">
      <alignment horizontal="center"/>
    </xf>
    <xf numFmtId="0" fontId="24" fillId="24" borderId="0" xfId="17" applyFont="1" applyAlignment="1">
      <alignment horizontal="center"/>
    </xf>
    <xf numFmtId="0" fontId="72" fillId="30" borderId="0" xfId="16" applyFont="1" applyFill="1" applyAlignment="1">
      <alignment horizontal="center"/>
    </xf>
    <xf numFmtId="0" fontId="77" fillId="22" borderId="1" xfId="18" applyFont="1" applyBorder="1" applyAlignment="1">
      <alignment horizontal="center" vertical="center"/>
    </xf>
    <xf numFmtId="0" fontId="20" fillId="24" borderId="1" xfId="17" applyBorder="1"/>
    <xf numFmtId="9" fontId="32" fillId="0" borderId="1" xfId="16" applyNumberFormat="1" applyBorder="1"/>
    <xf numFmtId="0" fontId="32" fillId="0" borderId="1" xfId="16" applyBorder="1"/>
    <xf numFmtId="0" fontId="20" fillId="23" borderId="58" xfId="15" applyBorder="1" applyAlignment="1">
      <alignment wrapText="1"/>
    </xf>
    <xf numFmtId="0" fontId="20" fillId="23" borderId="73" xfId="15" applyBorder="1" applyAlignment="1">
      <alignment wrapText="1"/>
    </xf>
    <xf numFmtId="0" fontId="20" fillId="23" borderId="77" xfId="15" applyBorder="1" applyAlignment="1">
      <alignment wrapText="1"/>
    </xf>
    <xf numFmtId="0" fontId="20" fillId="23" borderId="0" xfId="15" applyAlignment="1">
      <alignment wrapText="1"/>
    </xf>
    <xf numFmtId="0" fontId="20" fillId="23" borderId="50" xfId="15" applyBorder="1" applyAlignment="1">
      <alignment wrapText="1"/>
    </xf>
    <xf numFmtId="0" fontId="3" fillId="7" borderId="0" xfId="21" applyFill="1"/>
    <xf numFmtId="0" fontId="32" fillId="7" borderId="0" xfId="16" applyFill="1"/>
    <xf numFmtId="0" fontId="24" fillId="7" borderId="0" xfId="21" applyFont="1" applyFill="1"/>
    <xf numFmtId="17" fontId="3" fillId="7" borderId="0" xfId="21" applyNumberFormat="1" applyFill="1"/>
    <xf numFmtId="0" fontId="78" fillId="7" borderId="0" xfId="21" applyFont="1" applyFill="1"/>
    <xf numFmtId="0" fontId="32" fillId="0" borderId="58" xfId="16" applyBorder="1"/>
    <xf numFmtId="0" fontId="32" fillId="0" borderId="77" xfId="16" applyBorder="1"/>
    <xf numFmtId="0" fontId="32" fillId="0" borderId="101" xfId="16" applyBorder="1"/>
    <xf numFmtId="0" fontId="32" fillId="0" borderId="102" xfId="16" applyBorder="1"/>
    <xf numFmtId="9" fontId="32" fillId="0" borderId="50" xfId="16" applyNumberFormat="1" applyBorder="1"/>
    <xf numFmtId="0" fontId="32" fillId="0" borderId="100" xfId="16" applyBorder="1"/>
    <xf numFmtId="0" fontId="32" fillId="0" borderId="50" xfId="16" applyBorder="1"/>
    <xf numFmtId="0" fontId="0" fillId="0" borderId="0" xfId="0" applyBorder="1" applyAlignment="1">
      <alignment horizontal="left" vertical="top" wrapText="1"/>
    </xf>
    <xf numFmtId="14" fontId="8" fillId="0" borderId="0" xfId="0" applyNumberFormat="1" applyFont="1" applyBorder="1" applyAlignment="1">
      <alignment horizontal="center" vertical="center" wrapText="1"/>
    </xf>
    <xf numFmtId="14" fontId="8" fillId="0" borderId="1" xfId="0" applyNumberFormat="1" applyFont="1" applyBorder="1" applyAlignment="1">
      <alignment horizontal="center" vertical="center" wrapText="1"/>
    </xf>
    <xf numFmtId="0" fontId="80" fillId="0" borderId="0" xfId="0" applyFont="1"/>
    <xf numFmtId="0" fontId="6" fillId="0" borderId="0" xfId="0" applyFont="1" applyAlignment="1">
      <alignment horizontal="center" vertical="center" wrapText="1"/>
    </xf>
    <xf numFmtId="0" fontId="6" fillId="0" borderId="0" xfId="0" applyFont="1" applyAlignment="1">
      <alignment vertical="center" wrapText="1"/>
    </xf>
    <xf numFmtId="49" fontId="82" fillId="0" borderId="0" xfId="0" applyNumberFormat="1" applyFont="1" applyAlignment="1">
      <alignment vertical="center" wrapText="1"/>
    </xf>
    <xf numFmtId="0" fontId="6" fillId="0" borderId="0" xfId="0" applyFont="1" applyAlignment="1">
      <alignment horizontal="left" vertical="center" wrapText="1"/>
    </xf>
    <xf numFmtId="0" fontId="6" fillId="0" borderId="58" xfId="0" applyFont="1" applyFill="1" applyBorder="1" applyAlignment="1">
      <alignment horizontal="center" vertical="center" wrapText="1"/>
    </xf>
    <xf numFmtId="0" fontId="6" fillId="0" borderId="73" xfId="0" applyFont="1" applyBorder="1" applyAlignment="1">
      <alignment horizontal="center" vertical="center" wrapText="1"/>
    </xf>
    <xf numFmtId="49" fontId="6" fillId="0" borderId="74" xfId="0" applyNumberFormat="1" applyFont="1" applyBorder="1" applyAlignment="1">
      <alignment vertical="center" wrapText="1" shrinkToFit="1"/>
    </xf>
    <xf numFmtId="0" fontId="6" fillId="0" borderId="58" xfId="0" applyNumberFormat="1" applyFont="1" applyBorder="1" applyAlignment="1">
      <alignment vertical="center" wrapText="1" shrinkToFit="1"/>
    </xf>
    <xf numFmtId="0" fontId="83" fillId="0" borderId="58" xfId="0" applyFont="1" applyBorder="1" applyAlignment="1">
      <alignment horizontal="center" vertical="center" wrapText="1"/>
    </xf>
    <xf numFmtId="49" fontId="82" fillId="0" borderId="77" xfId="0" applyNumberFormat="1" applyFont="1" applyFill="1" applyBorder="1" applyAlignment="1">
      <alignment horizontal="center" vertical="center" wrapText="1"/>
    </xf>
    <xf numFmtId="0" fontId="82" fillId="0" borderId="58" xfId="0" applyFont="1" applyFill="1" applyBorder="1" applyAlignment="1">
      <alignment horizontal="center" vertical="center" wrapText="1"/>
    </xf>
    <xf numFmtId="0" fontId="82" fillId="0" borderId="73" xfId="0" applyFont="1" applyFill="1" applyBorder="1" applyAlignment="1">
      <alignment horizontal="center" vertical="center" wrapText="1"/>
    </xf>
    <xf numFmtId="0" fontId="6" fillId="0" borderId="73" xfId="0" applyFont="1" applyFill="1" applyBorder="1" applyAlignment="1">
      <alignment horizontal="center" vertical="center" wrapText="1"/>
    </xf>
    <xf numFmtId="0" fontId="6" fillId="0" borderId="113" xfId="0" applyFont="1" applyFill="1" applyBorder="1" applyAlignment="1">
      <alignment horizontal="center" vertical="center" wrapText="1"/>
    </xf>
    <xf numFmtId="0" fontId="5" fillId="0" borderId="6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114" xfId="0" applyFont="1" applyBorder="1" applyAlignment="1">
      <alignment horizontal="center" vertical="center" wrapText="1"/>
    </xf>
    <xf numFmtId="0" fontId="5" fillId="0" borderId="115" xfId="0" applyFont="1" applyBorder="1" applyAlignment="1">
      <alignment horizontal="center" vertical="center" wrapText="1"/>
    </xf>
    <xf numFmtId="49" fontId="82" fillId="0" borderId="74" xfId="0" applyNumberFormat="1" applyFont="1" applyBorder="1" applyAlignment="1">
      <alignment vertical="center" wrapText="1" shrinkToFit="1"/>
    </xf>
    <xf numFmtId="0" fontId="82" fillId="0" borderId="58" xfId="0" applyNumberFormat="1" applyFont="1" applyBorder="1" applyAlignment="1">
      <alignment vertical="center" wrapText="1" shrinkToFit="1"/>
    </xf>
    <xf numFmtId="0" fontId="82" fillId="0" borderId="73" xfId="0" applyFont="1" applyFill="1" applyBorder="1" applyAlignment="1">
      <alignment vertical="center" wrapText="1"/>
    </xf>
    <xf numFmtId="0" fontId="6" fillId="0" borderId="0" xfId="0" applyFont="1" applyAlignment="1" applyProtection="1">
      <alignment horizontal="center" vertical="center" wrapText="1"/>
      <protection locked="0"/>
    </xf>
    <xf numFmtId="0" fontId="0" fillId="0" borderId="62" xfId="0" applyBorder="1" applyAlignment="1">
      <alignment horizontal="center" wrapText="1"/>
    </xf>
    <xf numFmtId="0" fontId="0" fillId="0" borderId="2" xfId="0" applyBorder="1" applyAlignment="1">
      <alignment wrapText="1"/>
    </xf>
    <xf numFmtId="0" fontId="82" fillId="33" borderId="116" xfId="0" applyFont="1" applyFill="1" applyBorder="1" applyAlignment="1" applyProtection="1">
      <alignment horizontal="center" vertical="center" wrapText="1"/>
      <protection locked="0"/>
    </xf>
    <xf numFmtId="0" fontId="82" fillId="33" borderId="7" xfId="0" applyFont="1" applyFill="1" applyBorder="1" applyAlignment="1" applyProtection="1">
      <alignment horizontal="center" vertical="center" wrapText="1"/>
      <protection locked="0"/>
    </xf>
    <xf numFmtId="0" fontId="84" fillId="33" borderId="7" xfId="0" applyFont="1" applyFill="1" applyBorder="1" applyAlignment="1" applyProtection="1">
      <alignment horizontal="center" vertical="center" wrapText="1"/>
      <protection locked="0"/>
    </xf>
    <xf numFmtId="0" fontId="82" fillId="33" borderId="117" xfId="0" applyFont="1" applyFill="1" applyBorder="1" applyAlignment="1">
      <alignment horizontal="center" vertical="center" wrapText="1"/>
    </xf>
    <xf numFmtId="0" fontId="82" fillId="33" borderId="9" xfId="0" applyFont="1" applyFill="1" applyBorder="1" applyAlignment="1">
      <alignment horizontal="center" vertical="center" wrapText="1"/>
    </xf>
    <xf numFmtId="0" fontId="82" fillId="33" borderId="120" xfId="0" applyFont="1" applyFill="1" applyBorder="1" applyAlignment="1">
      <alignment horizontal="center" vertical="center" wrapText="1"/>
    </xf>
    <xf numFmtId="0" fontId="0" fillId="0" borderId="74" xfId="0" applyBorder="1" applyAlignment="1">
      <alignment horizontal="center" wrapText="1"/>
    </xf>
    <xf numFmtId="0" fontId="0" fillId="0" borderId="113" xfId="0" applyBorder="1" applyAlignment="1">
      <alignment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1" xfId="0" applyFont="1" applyBorder="1" applyAlignment="1">
      <alignment vertical="center" wrapText="1"/>
    </xf>
    <xf numFmtId="0" fontId="0" fillId="34" borderId="6" xfId="0" applyFill="1" applyBorder="1" applyAlignment="1">
      <alignment horizontal="center" wrapText="1"/>
    </xf>
    <xf numFmtId="0" fontId="0" fillId="34" borderId="5" xfId="0" applyFill="1" applyBorder="1" applyAlignment="1">
      <alignment horizontal="center" wrapText="1"/>
    </xf>
    <xf numFmtId="0" fontId="0" fillId="34" borderId="121" xfId="0" applyFill="1" applyBorder="1" applyAlignment="1">
      <alignment horizontal="center" wrapText="1"/>
    </xf>
    <xf numFmtId="0" fontId="0" fillId="34" borderId="122" xfId="0" applyFill="1" applyBorder="1" applyAlignment="1">
      <alignment horizontal="center" wrapText="1"/>
    </xf>
    <xf numFmtId="0" fontId="6" fillId="0" borderId="6" xfId="0" applyFont="1" applyBorder="1" applyAlignment="1">
      <alignment horizontal="center" vertical="center" wrapText="1"/>
    </xf>
    <xf numFmtId="0" fontId="6" fillId="0" borderId="0" xfId="0" applyFont="1" applyBorder="1" applyAlignment="1">
      <alignment horizontal="center" vertical="center" wrapText="1"/>
    </xf>
    <xf numFmtId="0" fontId="6" fillId="0" borderId="0" xfId="0" applyFont="1" applyBorder="1" applyAlignment="1">
      <alignment vertical="center" wrapText="1"/>
    </xf>
    <xf numFmtId="49" fontId="82" fillId="0" borderId="0" xfId="0" applyNumberFormat="1" applyFont="1" applyBorder="1" applyAlignment="1">
      <alignment vertical="center" wrapText="1"/>
    </xf>
    <xf numFmtId="0" fontId="6" fillId="0" borderId="0" xfId="0" quotePrefix="1" applyFont="1" applyBorder="1" applyAlignment="1">
      <alignment vertical="center" wrapText="1"/>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9" xfId="0" applyFont="1" applyBorder="1" applyAlignment="1">
      <alignment vertical="center" wrapText="1"/>
    </xf>
    <xf numFmtId="49" fontId="82" fillId="0" borderId="9" xfId="0" applyNumberFormat="1" applyFont="1" applyBorder="1" applyAlignment="1">
      <alignment vertical="center" wrapText="1"/>
    </xf>
    <xf numFmtId="49" fontId="6" fillId="35" borderId="0" xfId="0" applyNumberFormat="1" applyFont="1" applyFill="1" applyAlignment="1">
      <alignment horizontal="left" vertical="center" wrapText="1"/>
    </xf>
    <xf numFmtId="9" fontId="82" fillId="36" borderId="1" xfId="22" applyFont="1" applyFill="1" applyBorder="1" applyAlignment="1">
      <alignment horizontal="center" vertical="center" wrapText="1"/>
    </xf>
    <xf numFmtId="2" fontId="82" fillId="33" borderId="62" xfId="0" applyNumberFormat="1" applyFont="1" applyFill="1" applyBorder="1" applyAlignment="1">
      <alignment horizontal="center" vertical="center" wrapText="1"/>
    </xf>
    <xf numFmtId="2" fontId="82" fillId="33" borderId="1" xfId="0" applyNumberFormat="1" applyFont="1" applyFill="1" applyBorder="1" applyAlignment="1">
      <alignment horizontal="center" vertical="center" wrapText="1"/>
    </xf>
    <xf numFmtId="49" fontId="82" fillId="0" borderId="1" xfId="0" applyNumberFormat="1" applyFont="1" applyFill="1" applyBorder="1" applyAlignment="1">
      <alignment horizontal="center" vertical="center" wrapText="1"/>
    </xf>
    <xf numFmtId="49" fontId="82" fillId="0" borderId="2" xfId="0" applyNumberFormat="1" applyFont="1" applyFill="1" applyBorder="1" applyAlignment="1">
      <alignment horizontal="center" vertical="center" wrapText="1"/>
    </xf>
    <xf numFmtId="0" fontId="82" fillId="0" borderId="71" xfId="0" applyFont="1" applyFill="1" applyBorder="1" applyAlignment="1">
      <alignment horizontal="center" vertical="center" wrapText="1"/>
    </xf>
    <xf numFmtId="0" fontId="6" fillId="0" borderId="97" xfId="0" applyFont="1" applyBorder="1" applyAlignment="1">
      <alignment horizontal="center" vertical="center" wrapText="1"/>
    </xf>
    <xf numFmtId="49" fontId="84" fillId="37" borderId="123" xfId="0" applyNumberFormat="1" applyFont="1" applyFill="1" applyBorder="1" applyAlignment="1" applyProtection="1">
      <alignment horizontal="center" vertical="center" wrapText="1"/>
      <protection locked="0"/>
    </xf>
    <xf numFmtId="49" fontId="84" fillId="37" borderId="4" xfId="0" applyNumberFormat="1" applyFont="1" applyFill="1" applyBorder="1" applyAlignment="1" applyProtection="1">
      <alignment horizontal="center" vertical="center" wrapText="1"/>
      <protection locked="0"/>
    </xf>
    <xf numFmtId="49" fontId="84" fillId="37" borderId="3" xfId="0" applyNumberFormat="1" applyFont="1" applyFill="1" applyBorder="1" applyAlignment="1" applyProtection="1">
      <alignment horizontal="center" vertical="center" wrapText="1"/>
      <protection locked="0"/>
    </xf>
    <xf numFmtId="0" fontId="82" fillId="33" borderId="124" xfId="0" applyFont="1" applyFill="1" applyBorder="1" applyAlignment="1" applyProtection="1">
      <alignment horizontal="center" vertical="center" wrapText="1"/>
      <protection locked="0"/>
    </xf>
    <xf numFmtId="0" fontId="82" fillId="33" borderId="20" xfId="0" applyFont="1" applyFill="1" applyBorder="1" applyAlignment="1" applyProtection="1">
      <alignment horizontal="center" vertical="center" wrapText="1"/>
      <protection locked="0"/>
    </xf>
    <xf numFmtId="0" fontId="82" fillId="33" borderId="123" xfId="0" applyFont="1" applyFill="1" applyBorder="1" applyAlignment="1" applyProtection="1">
      <alignment horizontal="center" vertical="center" wrapText="1"/>
      <protection locked="0"/>
    </xf>
    <xf numFmtId="0" fontId="82" fillId="33" borderId="98" xfId="0" applyFont="1" applyFill="1" applyBorder="1" applyAlignment="1" applyProtection="1">
      <alignment horizontal="center" vertical="center" wrapText="1"/>
      <protection locked="0"/>
    </xf>
    <xf numFmtId="0" fontId="82" fillId="33" borderId="125" xfId="0" applyFont="1" applyFill="1" applyBorder="1" applyAlignment="1" applyProtection="1">
      <alignment horizontal="center" vertical="center" wrapText="1"/>
      <protection locked="0"/>
    </xf>
    <xf numFmtId="0" fontId="82" fillId="33" borderId="126" xfId="0" applyFont="1" applyFill="1" applyBorder="1" applyAlignment="1" applyProtection="1">
      <alignment horizontal="center" vertical="center" wrapText="1"/>
      <protection locked="0"/>
    </xf>
    <xf numFmtId="49" fontId="6" fillId="0" borderId="1" xfId="0" applyNumberFormat="1" applyFont="1" applyBorder="1" applyAlignment="1">
      <alignment horizontal="left" vertical="center" wrapText="1"/>
    </xf>
    <xf numFmtId="172" fontId="87" fillId="0" borderId="58" xfId="0" applyNumberFormat="1" applyFont="1" applyBorder="1" applyAlignment="1">
      <alignment horizontal="center" vertical="center" wrapText="1" shrinkToFit="1"/>
    </xf>
    <xf numFmtId="173" fontId="87" fillId="0" borderId="58" xfId="0" applyNumberFormat="1" applyFont="1" applyBorder="1" applyAlignment="1">
      <alignment horizontal="center" vertical="center" wrapText="1" shrinkToFit="1"/>
    </xf>
    <xf numFmtId="0" fontId="6" fillId="0" borderId="1" xfId="0" applyNumberFormat="1" applyFont="1" applyBorder="1" applyAlignment="1">
      <alignment horizontal="left" vertical="center" wrapText="1"/>
    </xf>
    <xf numFmtId="0" fontId="88" fillId="0" borderId="0" xfId="0" applyFont="1" applyAlignment="1">
      <alignment horizontal="left" vertical="center" indent="1"/>
    </xf>
    <xf numFmtId="0" fontId="0" fillId="0" borderId="0" xfId="0" applyAlignment="1">
      <alignment horizontal="left" vertical="center" indent="1"/>
    </xf>
    <xf numFmtId="0" fontId="88" fillId="0" borderId="0" xfId="0" applyFont="1" applyAlignment="1">
      <alignment vertical="center"/>
    </xf>
    <xf numFmtId="0" fontId="5" fillId="38" borderId="0" xfId="0" applyFont="1" applyFill="1" applyAlignment="1">
      <alignment vertical="center"/>
    </xf>
    <xf numFmtId="0" fontId="70" fillId="0" borderId="0" xfId="0" applyFont="1" applyAlignment="1">
      <alignment vertical="center" wrapText="1"/>
    </xf>
    <xf numFmtId="0" fontId="5" fillId="38" borderId="0" xfId="0" applyFont="1" applyFill="1" applyAlignment="1">
      <alignment horizontal="center" vertical="center"/>
    </xf>
    <xf numFmtId="0" fontId="92" fillId="38" borderId="0" xfId="0" applyFont="1" applyFill="1" applyAlignment="1">
      <alignment horizontal="center" vertical="center"/>
    </xf>
    <xf numFmtId="0" fontId="93" fillId="6" borderId="12" xfId="0" applyFont="1" applyFill="1" applyBorder="1" applyAlignment="1">
      <alignment horizontal="center" vertical="center" wrapText="1"/>
    </xf>
    <xf numFmtId="0" fontId="93" fillId="6" borderId="131" xfId="0" applyFont="1" applyFill="1" applyBorder="1" applyAlignment="1">
      <alignment horizontal="center" vertical="center" wrapText="1"/>
    </xf>
    <xf numFmtId="0" fontId="70" fillId="0" borderId="12" xfId="0" applyFont="1" applyBorder="1" applyAlignment="1">
      <alignment horizontal="center" vertical="center" wrapText="1"/>
    </xf>
    <xf numFmtId="0" fontId="94" fillId="0" borderId="12" xfId="0" applyFont="1" applyBorder="1" applyAlignment="1">
      <alignment horizontal="center" vertical="center" wrapText="1"/>
    </xf>
    <xf numFmtId="0" fontId="93" fillId="38" borderId="12" xfId="0" applyFont="1" applyFill="1" applyBorder="1" applyAlignment="1">
      <alignment horizontal="center" vertical="center" wrapText="1"/>
    </xf>
    <xf numFmtId="0" fontId="93" fillId="38" borderId="131" xfId="0" applyFont="1" applyFill="1" applyBorder="1" applyAlignment="1">
      <alignment horizontal="center" vertical="center" wrapText="1"/>
    </xf>
    <xf numFmtId="0" fontId="8" fillId="39" borderId="134" xfId="0" applyFont="1" applyFill="1" applyBorder="1" applyAlignment="1">
      <alignment horizontal="center" vertical="center" wrapText="1"/>
    </xf>
    <xf numFmtId="0" fontId="8" fillId="39" borderId="135" xfId="0" applyFont="1" applyFill="1" applyBorder="1" applyAlignment="1">
      <alignment horizontal="center" vertical="center" wrapText="1"/>
    </xf>
    <xf numFmtId="0" fontId="42" fillId="38" borderId="11" xfId="0" applyFont="1" applyFill="1" applyBorder="1" applyAlignment="1">
      <alignment horizontal="center" vertical="center"/>
    </xf>
    <xf numFmtId="0" fontId="94" fillId="40" borderId="8" xfId="0" applyFont="1" applyFill="1" applyBorder="1" applyAlignment="1">
      <alignment horizontal="center" vertical="center" wrapText="1"/>
    </xf>
    <xf numFmtId="0" fontId="94" fillId="40" borderId="7" xfId="0" applyFont="1" applyFill="1" applyBorder="1" applyAlignment="1">
      <alignment horizontal="center" vertical="center" wrapText="1"/>
    </xf>
    <xf numFmtId="0" fontId="8" fillId="0" borderId="0" xfId="0" applyFont="1"/>
    <xf numFmtId="0" fontId="94" fillId="0" borderId="0" xfId="0" applyFont="1" applyAlignment="1">
      <alignment vertical="center"/>
    </xf>
    <xf numFmtId="0" fontId="70" fillId="0" borderId="0" xfId="0" applyFont="1" applyAlignment="1">
      <alignment vertical="center"/>
    </xf>
    <xf numFmtId="0" fontId="97" fillId="0" borderId="0" xfId="0" applyFont="1" applyAlignment="1">
      <alignment vertical="center"/>
    </xf>
    <xf numFmtId="0" fontId="98" fillId="0" borderId="0" xfId="0" applyFont="1"/>
    <xf numFmtId="0" fontId="5" fillId="0" borderId="0" xfId="0" applyFont="1" applyAlignment="1">
      <alignment horizontal="center"/>
    </xf>
    <xf numFmtId="0" fontId="5" fillId="0" borderId="62" xfId="12" applyBorder="1" applyAlignment="1">
      <alignment horizontal="center"/>
    </xf>
    <xf numFmtId="0" fontId="5" fillId="37" borderId="1" xfId="12" applyFill="1" applyBorder="1" applyAlignment="1">
      <alignment horizontal="center"/>
    </xf>
    <xf numFmtId="0" fontId="8" fillId="41" borderId="1" xfId="12" applyFont="1" applyFill="1" applyBorder="1" applyAlignment="1">
      <alignment horizontal="center"/>
    </xf>
    <xf numFmtId="0" fontId="100" fillId="35" borderId="1" xfId="12" applyFont="1" applyFill="1" applyBorder="1" applyAlignment="1">
      <alignment horizontal="center"/>
    </xf>
    <xf numFmtId="0" fontId="8" fillId="41" borderId="2" xfId="12" applyFont="1" applyFill="1" applyBorder="1" applyAlignment="1">
      <alignment horizontal="center"/>
    </xf>
    <xf numFmtId="0" fontId="5" fillId="0" borderId="123" xfId="12" applyBorder="1" applyAlignment="1">
      <alignment horizontal="center"/>
    </xf>
    <xf numFmtId="0" fontId="5" fillId="0" borderId="0" xfId="12" applyAlignment="1">
      <alignment textRotation="90"/>
    </xf>
    <xf numFmtId="0" fontId="5" fillId="36" borderId="76" xfId="12" applyFill="1" applyBorder="1" applyAlignment="1">
      <alignment textRotation="90"/>
    </xf>
    <xf numFmtId="0" fontId="5" fillId="36" borderId="54" xfId="12" applyFill="1" applyBorder="1" applyAlignment="1">
      <alignment textRotation="90"/>
    </xf>
    <xf numFmtId="0" fontId="17" fillId="36" borderId="54" xfId="12" applyFont="1" applyFill="1" applyBorder="1" applyAlignment="1">
      <alignment textRotation="90"/>
    </xf>
    <xf numFmtId="0" fontId="17" fillId="36" borderId="53" xfId="12" applyFont="1" applyFill="1" applyBorder="1" applyAlignment="1">
      <alignment textRotation="90" wrapText="1"/>
    </xf>
    <xf numFmtId="0" fontId="8" fillId="0" borderId="0" xfId="12" applyFont="1" applyAlignment="1">
      <alignment horizontal="right"/>
    </xf>
    <xf numFmtId="0" fontId="101" fillId="2" borderId="10" xfId="12" applyFont="1" applyFill="1" applyBorder="1"/>
    <xf numFmtId="0" fontId="101" fillId="2" borderId="120" xfId="12" applyFont="1" applyFill="1" applyBorder="1" applyAlignment="1">
      <alignment horizontal="centerContinuous"/>
    </xf>
    <xf numFmtId="0" fontId="101" fillId="2" borderId="119" xfId="12" applyFont="1" applyFill="1" applyBorder="1" applyAlignment="1">
      <alignment horizontal="centerContinuous"/>
    </xf>
    <xf numFmtId="0" fontId="102" fillId="2" borderId="119" xfId="12" applyFont="1" applyFill="1" applyBorder="1" applyAlignment="1">
      <alignment horizontal="centerContinuous"/>
    </xf>
    <xf numFmtId="0" fontId="103" fillId="0" borderId="0" xfId="12" applyFont="1"/>
    <xf numFmtId="0" fontId="5" fillId="35" borderId="137" xfId="12" applyFill="1" applyBorder="1"/>
    <xf numFmtId="0" fontId="100" fillId="35" borderId="138" xfId="12" applyFont="1" applyFill="1" applyBorder="1"/>
    <xf numFmtId="0" fontId="100" fillId="35" borderId="115" xfId="12" applyFont="1" applyFill="1" applyBorder="1"/>
    <xf numFmtId="0" fontId="104" fillId="0" borderId="0" xfId="12" applyFont="1"/>
    <xf numFmtId="0" fontId="5" fillId="41" borderId="15" xfId="12" applyFill="1" applyBorder="1"/>
    <xf numFmtId="0" fontId="5" fillId="41" borderId="103" xfId="12" applyFill="1" applyBorder="1"/>
    <xf numFmtId="0" fontId="8" fillId="41" borderId="2" xfId="12" applyFont="1" applyFill="1" applyBorder="1"/>
    <xf numFmtId="0" fontId="5" fillId="37" borderId="125" xfId="12" applyFill="1" applyBorder="1"/>
    <xf numFmtId="0" fontId="5" fillId="37" borderId="103" xfId="12" applyFill="1" applyBorder="1"/>
    <xf numFmtId="0" fontId="5" fillId="37" borderId="2" xfId="12" applyFill="1" applyBorder="1"/>
    <xf numFmtId="0" fontId="5" fillId="36" borderId="125" xfId="12" applyFill="1" applyBorder="1"/>
    <xf numFmtId="0" fontId="5" fillId="36" borderId="103" xfId="12" applyFill="1" applyBorder="1"/>
    <xf numFmtId="0" fontId="5" fillId="36" borderId="2" xfId="12" applyFill="1" applyBorder="1"/>
    <xf numFmtId="0" fontId="102" fillId="2" borderId="0" xfId="12" applyFont="1" applyFill="1" applyAlignment="1">
      <alignment horizontal="right"/>
    </xf>
    <xf numFmtId="0" fontId="5" fillId="2" borderId="0" xfId="12" applyFill="1"/>
    <xf numFmtId="0" fontId="101" fillId="2" borderId="0" xfId="12" applyFont="1" applyFill="1"/>
    <xf numFmtId="0" fontId="5" fillId="36" borderId="10" xfId="12" applyFill="1" applyBorder="1"/>
    <xf numFmtId="0" fontId="5" fillId="36" borderId="19" xfId="12" applyFill="1" applyBorder="1"/>
    <xf numFmtId="0" fontId="5" fillId="36" borderId="3" xfId="12" applyFill="1" applyBorder="1"/>
    <xf numFmtId="0" fontId="8" fillId="0" borderId="0" xfId="12" applyFont="1"/>
    <xf numFmtId="0" fontId="105" fillId="0" borderId="0" xfId="12" applyFont="1"/>
    <xf numFmtId="0" fontId="102" fillId="2" borderId="0" xfId="12" applyFont="1" applyFill="1" applyAlignment="1">
      <alignment horizontal="centerContinuous"/>
    </xf>
    <xf numFmtId="0" fontId="102" fillId="2" borderId="5" xfId="12" applyFont="1" applyFill="1" applyBorder="1" applyAlignment="1">
      <alignment horizontal="centerContinuous"/>
    </xf>
    <xf numFmtId="0" fontId="7" fillId="0" borderId="0" xfId="12" applyFont="1" applyAlignment="1">
      <alignment vertical="center"/>
    </xf>
    <xf numFmtId="0" fontId="5" fillId="0" borderId="0" xfId="12" applyAlignment="1">
      <alignment horizontal="center"/>
    </xf>
    <xf numFmtId="0" fontId="2" fillId="0" borderId="1" xfId="0" applyFont="1" applyBorder="1" applyAlignment="1">
      <alignment vertical="center" wrapText="1"/>
    </xf>
    <xf numFmtId="0" fontId="5" fillId="0" borderId="1" xfId="0" applyFont="1" applyBorder="1" applyAlignment="1">
      <alignment vertical="center" wrapText="1"/>
    </xf>
    <xf numFmtId="0" fontId="5" fillId="0" borderId="0" xfId="12" applyFont="1"/>
    <xf numFmtId="0" fontId="106" fillId="0" borderId="12" xfId="0" applyFont="1" applyBorder="1" applyAlignment="1">
      <alignment horizontal="center" vertical="center" wrapText="1"/>
    </xf>
    <xf numFmtId="0" fontId="106" fillId="0" borderId="117" xfId="0" applyFont="1" applyBorder="1" applyAlignment="1">
      <alignment horizontal="center" vertical="center" wrapText="1"/>
    </xf>
    <xf numFmtId="0" fontId="107" fillId="0" borderId="12" xfId="0" applyFont="1" applyBorder="1" applyAlignment="1">
      <alignment horizontal="center" vertical="center" wrapText="1"/>
    </xf>
    <xf numFmtId="0" fontId="72" fillId="6" borderId="139" xfId="12" applyFont="1" applyFill="1" applyBorder="1" applyAlignment="1">
      <alignment horizontal="center"/>
    </xf>
    <xf numFmtId="0" fontId="13" fillId="40" borderId="63" xfId="12" applyFont="1" applyFill="1" applyBorder="1" applyAlignment="1">
      <alignment horizontal="center" vertical="center" wrapText="1"/>
    </xf>
    <xf numFmtId="0" fontId="13" fillId="40" borderId="135" xfId="12" applyFont="1" applyFill="1" applyBorder="1" applyAlignment="1">
      <alignment horizontal="left" vertical="center" wrapText="1" indent="1"/>
    </xf>
    <xf numFmtId="0" fontId="108" fillId="0" borderId="0" xfId="12" applyFont="1"/>
    <xf numFmtId="0" fontId="5" fillId="0" borderId="1" xfId="0" applyFont="1" applyBorder="1" applyAlignment="1">
      <alignment horizontal="center" vertical="center" wrapText="1"/>
    </xf>
    <xf numFmtId="0" fontId="5" fillId="0" borderId="2" xfId="0" applyFont="1" applyBorder="1" applyAlignment="1">
      <alignment horizontal="center"/>
    </xf>
    <xf numFmtId="0" fontId="5" fillId="25" borderId="2" xfId="0" applyFont="1" applyFill="1" applyBorder="1" applyAlignment="1">
      <alignment horizontal="center"/>
    </xf>
    <xf numFmtId="0" fontId="5" fillId="25" borderId="55" xfId="0" applyFont="1" applyFill="1" applyBorder="1" applyAlignment="1">
      <alignment horizontal="center" vertical="center" wrapText="1"/>
    </xf>
    <xf numFmtId="0" fontId="5" fillId="25" borderId="56" xfId="0" applyFont="1" applyFill="1" applyBorder="1" applyAlignment="1">
      <alignment horizontal="center" vertical="center" wrapText="1"/>
    </xf>
    <xf numFmtId="0" fontId="5" fillId="5" borderId="56" xfId="0" applyFont="1" applyFill="1" applyBorder="1" applyAlignment="1">
      <alignment horizontal="center" vertical="center" wrapText="1"/>
    </xf>
    <xf numFmtId="0" fontId="5" fillId="0" borderId="1" xfId="0" applyFont="1" applyBorder="1" applyAlignment="1">
      <alignment horizontal="center" vertical="top" wrapText="1"/>
    </xf>
    <xf numFmtId="0" fontId="5" fillId="0" borderId="1" xfId="0" applyFont="1" applyBorder="1" applyAlignment="1">
      <alignment horizontal="center"/>
    </xf>
    <xf numFmtId="0" fontId="5" fillId="5" borderId="55" xfId="0" applyFont="1" applyFill="1" applyBorder="1" applyAlignment="1">
      <alignment horizontal="center" vertical="center" wrapText="1"/>
    </xf>
    <xf numFmtId="0" fontId="5" fillId="28" borderId="2" xfId="0" applyFont="1" applyFill="1" applyBorder="1" applyAlignment="1">
      <alignment horizontal="center"/>
    </xf>
    <xf numFmtId="0" fontId="5" fillId="28" borderId="57" xfId="0" applyFont="1" applyFill="1" applyBorder="1" applyAlignment="1">
      <alignment horizontal="center" vertical="center" wrapText="1"/>
    </xf>
    <xf numFmtId="0" fontId="5" fillId="28" borderId="55" xfId="0" applyFont="1" applyFill="1" applyBorder="1" applyAlignment="1">
      <alignment horizontal="center" vertical="center" wrapText="1"/>
    </xf>
    <xf numFmtId="0" fontId="5" fillId="28" borderId="56" xfId="0" applyFont="1" applyFill="1" applyBorder="1" applyAlignment="1">
      <alignment horizontal="center" vertical="center" wrapText="1"/>
    </xf>
    <xf numFmtId="0" fontId="5" fillId="20" borderId="2" xfId="0" applyFont="1" applyFill="1" applyBorder="1" applyAlignment="1">
      <alignment horizontal="center" vertical="center" wrapText="1"/>
    </xf>
    <xf numFmtId="0" fontId="5" fillId="20" borderId="55" xfId="0" applyFont="1" applyFill="1" applyBorder="1" applyAlignment="1">
      <alignment horizontal="center" vertical="center" wrapText="1"/>
    </xf>
    <xf numFmtId="0" fontId="5" fillId="27" borderId="55" xfId="0" applyFont="1" applyFill="1" applyBorder="1" applyAlignment="1">
      <alignment horizontal="center" vertical="center" wrapText="1"/>
    </xf>
    <xf numFmtId="0" fontId="5" fillId="27" borderId="56" xfId="0" applyFont="1" applyFill="1" applyBorder="1" applyAlignment="1">
      <alignment horizontal="center" vertical="center" wrapText="1"/>
    </xf>
    <xf numFmtId="0" fontId="5" fillId="17" borderId="56" xfId="0" applyFont="1" applyFill="1" applyBorder="1" applyAlignment="1">
      <alignment horizontal="center" vertical="center" wrapText="1"/>
    </xf>
    <xf numFmtId="0" fontId="5" fillId="0" borderId="88" xfId="0" applyFont="1" applyBorder="1" applyAlignment="1">
      <alignment horizontal="center" vertical="center" wrapText="1"/>
    </xf>
    <xf numFmtId="0" fontId="5" fillId="15" borderId="56" xfId="0" applyFont="1" applyFill="1" applyBorder="1" applyAlignment="1">
      <alignment horizontal="center" vertical="center" wrapText="1"/>
    </xf>
    <xf numFmtId="0" fontId="5" fillId="13" borderId="55" xfId="0" applyFont="1" applyFill="1" applyBorder="1" applyAlignment="1">
      <alignment horizontal="center" vertical="center" wrapText="1"/>
    </xf>
    <xf numFmtId="0" fontId="5" fillId="0" borderId="87" xfId="0" applyFont="1" applyBorder="1" applyAlignment="1">
      <alignment horizontal="center" vertical="center" wrapText="1"/>
    </xf>
    <xf numFmtId="0" fontId="5" fillId="13" borderId="56" xfId="0" applyFont="1" applyFill="1" applyBorder="1" applyAlignment="1">
      <alignment horizontal="center" vertical="center" wrapText="1"/>
    </xf>
    <xf numFmtId="0" fontId="5" fillId="0" borderId="58" xfId="0" applyFont="1" applyBorder="1" applyAlignment="1">
      <alignment horizontal="center" vertical="center" wrapText="1"/>
    </xf>
    <xf numFmtId="0" fontId="5" fillId="0" borderId="93" xfId="0" applyFont="1" applyBorder="1" applyAlignment="1">
      <alignment horizontal="center" vertical="center" wrapText="1"/>
    </xf>
    <xf numFmtId="0" fontId="5" fillId="21" borderId="56" xfId="0" applyFont="1" applyFill="1" applyBorder="1" applyAlignment="1">
      <alignment horizontal="center" vertical="center" wrapText="1"/>
    </xf>
    <xf numFmtId="0" fontId="5" fillId="0" borderId="51" xfId="0" applyFont="1" applyBorder="1" applyAlignment="1">
      <alignment horizontal="center" vertical="center" wrapText="1"/>
    </xf>
    <xf numFmtId="0" fontId="5" fillId="0" borderId="44" xfId="0" applyFont="1" applyBorder="1" applyAlignment="1">
      <alignment horizontal="center" vertical="top" wrapText="1"/>
    </xf>
    <xf numFmtId="0" fontId="5" fillId="0" borderId="49" xfId="0" applyFont="1" applyBorder="1" applyAlignment="1">
      <alignment horizontal="center" vertical="center" wrapText="1"/>
    </xf>
    <xf numFmtId="0" fontId="25" fillId="0" borderId="0" xfId="0" applyFont="1" applyAlignment="1">
      <alignment horizontal="center" vertical="center"/>
    </xf>
    <xf numFmtId="0" fontId="38" fillId="5" borderId="80" xfId="0" applyFont="1" applyFill="1" applyBorder="1" applyAlignment="1">
      <alignment horizontal="right" vertical="center" wrapText="1"/>
    </xf>
    <xf numFmtId="0" fontId="38" fillId="5" borderId="11" xfId="0" applyFont="1" applyFill="1" applyBorder="1" applyAlignment="1">
      <alignment horizontal="right" vertical="center" wrapText="1"/>
    </xf>
    <xf numFmtId="0" fontId="38" fillId="5" borderId="16" xfId="0" applyFont="1" applyFill="1" applyBorder="1" applyAlignment="1">
      <alignment horizontal="right" vertical="center" wrapText="1"/>
    </xf>
    <xf numFmtId="0" fontId="41" fillId="0" borderId="63" xfId="0" applyFont="1" applyBorder="1" applyAlignment="1">
      <alignment horizontal="center"/>
    </xf>
    <xf numFmtId="0" fontId="41" fillId="0" borderId="75" xfId="0" applyFont="1" applyBorder="1" applyAlignment="1">
      <alignment horizontal="center"/>
    </xf>
    <xf numFmtId="0" fontId="42" fillId="6" borderId="0" xfId="0" applyFont="1" applyFill="1" applyAlignment="1">
      <alignment horizontal="right" vertical="center"/>
    </xf>
    <xf numFmtId="0" fontId="47" fillId="6" borderId="0" xfId="0" applyFont="1" applyFill="1" applyAlignment="1">
      <alignment horizontal="center" vertical="center"/>
    </xf>
    <xf numFmtId="0" fontId="54" fillId="27" borderId="83" xfId="0" applyFont="1" applyFill="1" applyBorder="1" applyAlignment="1">
      <alignment horizontal="center" vertical="center" wrapText="1"/>
    </xf>
    <xf numFmtId="0" fontId="54" fillId="25" borderId="63" xfId="0" applyFont="1" applyFill="1" applyBorder="1" applyAlignment="1">
      <alignment horizontal="center"/>
    </xf>
    <xf numFmtId="0" fontId="54" fillId="25" borderId="16" xfId="0" applyFont="1" applyFill="1" applyBorder="1" applyAlignment="1">
      <alignment horizontal="center"/>
    </xf>
    <xf numFmtId="0" fontId="54" fillId="25" borderId="8" xfId="0" applyFont="1" applyFill="1" applyBorder="1" applyAlignment="1">
      <alignment horizontal="center"/>
    </xf>
    <xf numFmtId="0" fontId="28" fillId="20" borderId="63" xfId="0" applyFont="1" applyFill="1" applyBorder="1" applyAlignment="1">
      <alignment horizontal="center"/>
    </xf>
    <xf numFmtId="0" fontId="28" fillId="20" borderId="16" xfId="0" applyFont="1" applyFill="1" applyBorder="1" applyAlignment="1">
      <alignment horizontal="center"/>
    </xf>
    <xf numFmtId="0" fontId="28" fillId="20" borderId="8" xfId="0" applyFont="1" applyFill="1" applyBorder="1" applyAlignment="1">
      <alignment horizontal="center"/>
    </xf>
    <xf numFmtId="0" fontId="68" fillId="0" borderId="0" xfId="12" applyFont="1" applyAlignment="1">
      <alignment horizontal="left" vertical="center" wrapText="1"/>
    </xf>
    <xf numFmtId="0" fontId="61" fillId="30" borderId="0" xfId="12" applyFont="1" applyFill="1" applyAlignment="1">
      <alignment horizontal="center" vertical="center"/>
    </xf>
    <xf numFmtId="0" fontId="20" fillId="23" borderId="1" xfId="15" applyBorder="1"/>
    <xf numFmtId="0" fontId="32" fillId="0" borderId="1" xfId="12" applyFont="1" applyBorder="1" applyAlignment="1">
      <alignment wrapText="1"/>
    </xf>
    <xf numFmtId="0" fontId="71" fillId="0" borderId="1" xfId="12" applyFont="1" applyBorder="1"/>
    <xf numFmtId="0" fontId="20" fillId="23" borderId="1" xfId="15" applyBorder="1" applyAlignment="1">
      <alignment horizontal="center" wrapText="1"/>
    </xf>
    <xf numFmtId="0" fontId="58" fillId="23" borderId="0" xfId="15" applyFont="1" applyAlignment="1">
      <alignment horizontal="left"/>
    </xf>
    <xf numFmtId="0" fontId="58" fillId="23" borderId="0" xfId="15" applyFont="1" applyAlignment="1">
      <alignment horizontal="center"/>
    </xf>
    <xf numFmtId="0" fontId="20" fillId="23" borderId="0" xfId="15" applyAlignment="1">
      <alignment horizontal="center"/>
    </xf>
    <xf numFmtId="0" fontId="20" fillId="23" borderId="100" xfId="15" applyBorder="1" applyAlignment="1">
      <alignment wrapText="1"/>
    </xf>
    <xf numFmtId="0" fontId="20" fillId="23" borderId="98" xfId="15" applyBorder="1" applyAlignment="1">
      <alignment wrapText="1"/>
    </xf>
    <xf numFmtId="0" fontId="0" fillId="0" borderId="78" xfId="0" applyBorder="1" applyAlignment="1">
      <alignment vertical="top" wrapText="1"/>
    </xf>
    <xf numFmtId="0" fontId="0" fillId="0" borderId="14" xfId="0" applyBorder="1" applyAlignment="1">
      <alignment vertical="top" wrapText="1"/>
    </xf>
    <xf numFmtId="0" fontId="0" fillId="0" borderId="103" xfId="0" applyBorder="1" applyAlignment="1">
      <alignment vertical="top" wrapText="1"/>
    </xf>
    <xf numFmtId="0" fontId="79" fillId="3" borderId="78" xfId="0" applyFont="1" applyFill="1" applyBorder="1" applyAlignment="1">
      <alignment horizontal="center" vertical="center"/>
    </xf>
    <xf numFmtId="0" fontId="79" fillId="3" borderId="14" xfId="0" applyFont="1" applyFill="1" applyBorder="1" applyAlignment="1">
      <alignment horizontal="center" vertical="center"/>
    </xf>
    <xf numFmtId="0" fontId="79" fillId="3" borderId="103" xfId="0" applyFont="1" applyFill="1" applyBorder="1" applyAlignment="1">
      <alignment horizontal="center" vertical="center"/>
    </xf>
    <xf numFmtId="0" fontId="81" fillId="32" borderId="112" xfId="0" applyFont="1" applyFill="1" applyBorder="1" applyAlignment="1">
      <alignment horizontal="center"/>
    </xf>
    <xf numFmtId="0" fontId="81" fillId="32" borderId="111" xfId="0" applyFont="1" applyFill="1" applyBorder="1" applyAlignment="1">
      <alignment horizontal="center"/>
    </xf>
    <xf numFmtId="0" fontId="81" fillId="32" borderId="110" xfId="0" applyFont="1" applyFill="1" applyBorder="1" applyAlignment="1">
      <alignment horizontal="center"/>
    </xf>
    <xf numFmtId="0" fontId="79" fillId="3" borderId="109" xfId="0" applyFont="1" applyFill="1" applyBorder="1" applyAlignment="1">
      <alignment horizontal="left" vertical="center"/>
    </xf>
    <xf numFmtId="0" fontId="79" fillId="3" borderId="108" xfId="0" applyFont="1" applyFill="1" applyBorder="1" applyAlignment="1">
      <alignment horizontal="left" vertical="center"/>
    </xf>
    <xf numFmtId="0" fontId="8" fillId="0" borderId="108" xfId="0" applyFont="1" applyBorder="1" applyAlignment="1">
      <alignment horizontal="left" vertical="center"/>
    </xf>
    <xf numFmtId="0" fontId="8" fillId="0" borderId="107" xfId="0" applyFont="1" applyBorder="1" applyAlignment="1">
      <alignment horizontal="left" vertical="center"/>
    </xf>
    <xf numFmtId="0" fontId="79" fillId="3" borderId="106" xfId="0" applyFont="1" applyFill="1" applyBorder="1" applyAlignment="1">
      <alignment horizontal="left" vertical="center"/>
    </xf>
    <xf numFmtId="0" fontId="79" fillId="3" borderId="105" xfId="0" applyFont="1" applyFill="1" applyBorder="1" applyAlignment="1">
      <alignment horizontal="left" vertical="center"/>
    </xf>
    <xf numFmtId="14" fontId="8" fillId="0" borderId="105" xfId="0" applyNumberFormat="1" applyFont="1" applyBorder="1" applyAlignment="1">
      <alignment horizontal="left" vertical="center"/>
    </xf>
    <xf numFmtId="14" fontId="8" fillId="0" borderId="104" xfId="0" applyNumberFormat="1" applyFont="1" applyBorder="1" applyAlignment="1">
      <alignment horizontal="left" vertical="center"/>
    </xf>
    <xf numFmtId="0" fontId="0" fillId="0" borderId="78" xfId="0" applyBorder="1" applyAlignment="1">
      <alignment horizontal="left" vertical="top" wrapText="1"/>
    </xf>
    <xf numFmtId="0" fontId="0" fillId="0" borderId="14" xfId="0" applyBorder="1" applyAlignment="1">
      <alignment horizontal="left" vertical="top" wrapText="1"/>
    </xf>
    <xf numFmtId="0" fontId="0" fillId="0" borderId="103" xfId="0" applyBorder="1" applyAlignment="1">
      <alignment horizontal="left" vertical="top" wrapText="1"/>
    </xf>
    <xf numFmtId="0" fontId="0" fillId="0" borderId="78" xfId="0" applyBorder="1" applyAlignment="1">
      <alignment horizontal="left" vertical="center" wrapText="1"/>
    </xf>
    <xf numFmtId="0" fontId="0" fillId="0" borderId="14" xfId="0" applyBorder="1" applyAlignment="1">
      <alignment horizontal="left" vertical="center" wrapText="1"/>
    </xf>
    <xf numFmtId="0" fontId="0" fillId="0" borderId="103" xfId="0" applyBorder="1" applyAlignment="1">
      <alignment horizontal="left" vertical="center" wrapText="1"/>
    </xf>
    <xf numFmtId="49" fontId="84" fillId="33" borderId="120" xfId="0" applyNumberFormat="1" applyFont="1" applyFill="1" applyBorder="1" applyAlignment="1" applyProtection="1">
      <alignment horizontal="center" vertical="center" wrapText="1"/>
      <protection locked="0"/>
    </xf>
    <xf numFmtId="49" fontId="84" fillId="33" borderId="118" xfId="0" applyNumberFormat="1" applyFont="1" applyFill="1" applyBorder="1" applyAlignment="1" applyProtection="1">
      <alignment horizontal="center" vertical="center" wrapText="1"/>
      <protection locked="0"/>
    </xf>
    <xf numFmtId="0" fontId="86" fillId="0" borderId="120" xfId="0" applyFont="1" applyBorder="1" applyAlignment="1">
      <alignment horizontal="center" vertical="center" wrapText="1"/>
    </xf>
    <xf numFmtId="0" fontId="86" fillId="0" borderId="9" xfId="0" applyFont="1" applyBorder="1" applyAlignment="1">
      <alignment horizontal="center" vertical="center" wrapText="1"/>
    </xf>
    <xf numFmtId="0" fontId="86" fillId="0" borderId="5" xfId="0" applyFont="1" applyBorder="1" applyAlignment="1">
      <alignment horizontal="center" vertical="center" wrapText="1"/>
    </xf>
    <xf numFmtId="0" fontId="86" fillId="0" borderId="0" xfId="0" applyFont="1" applyBorder="1" applyAlignment="1">
      <alignment horizontal="center" vertical="center" wrapText="1"/>
    </xf>
    <xf numFmtId="0" fontId="86" fillId="0" borderId="118" xfId="0" applyFont="1" applyBorder="1" applyAlignment="1">
      <alignment horizontal="center" vertical="center" wrapText="1"/>
    </xf>
    <xf numFmtId="0" fontId="86" fillId="0" borderId="11" xfId="0" applyFont="1" applyBorder="1" applyAlignment="1">
      <alignment horizontal="center" vertical="center" wrapText="1"/>
    </xf>
    <xf numFmtId="0" fontId="82" fillId="33" borderId="119" xfId="0" applyFont="1" applyFill="1" applyBorder="1" applyAlignment="1">
      <alignment horizontal="center" vertical="center" wrapText="1"/>
    </xf>
    <xf numFmtId="0" fontId="82" fillId="33" borderId="117" xfId="0" applyFont="1" applyFill="1" applyBorder="1" applyAlignment="1">
      <alignment horizontal="center" vertical="center" wrapText="1"/>
    </xf>
    <xf numFmtId="0" fontId="82" fillId="33" borderId="63" xfId="0" applyFont="1" applyFill="1" applyBorder="1" applyAlignment="1">
      <alignment horizontal="center" vertical="center" wrapText="1"/>
    </xf>
    <xf numFmtId="0" fontId="82" fillId="33" borderId="16" xfId="0" applyFont="1" applyFill="1" applyBorder="1" applyAlignment="1">
      <alignment horizontal="center" vertical="center" wrapText="1"/>
    </xf>
    <xf numFmtId="0" fontId="82" fillId="33" borderId="8" xfId="0" applyFont="1" applyFill="1" applyBorder="1" applyAlignment="1">
      <alignment horizontal="center" vertical="center" wrapText="1"/>
    </xf>
    <xf numFmtId="0" fontId="0" fillId="34" borderId="63" xfId="0" applyFill="1" applyBorder="1" applyAlignment="1">
      <alignment horizontal="center" wrapText="1"/>
    </xf>
    <xf numFmtId="0" fontId="0" fillId="34" borderId="8" xfId="0" applyFill="1" applyBorder="1" applyAlignment="1">
      <alignment horizontal="center" wrapText="1"/>
    </xf>
    <xf numFmtId="0" fontId="82" fillId="33" borderId="119" xfId="0" applyFont="1" applyFill="1" applyBorder="1" applyAlignment="1" applyProtection="1">
      <alignment horizontal="center" vertical="center" wrapText="1"/>
      <protection locked="0"/>
    </xf>
    <xf numFmtId="0" fontId="82" fillId="33" borderId="117" xfId="0" applyFont="1" applyFill="1" applyBorder="1" applyAlignment="1" applyProtection="1">
      <alignment horizontal="center" vertical="center" wrapText="1"/>
      <protection locked="0"/>
    </xf>
    <xf numFmtId="0" fontId="84" fillId="33" borderId="119" xfId="0" applyFont="1" applyFill="1" applyBorder="1" applyAlignment="1" applyProtection="1">
      <alignment horizontal="center" vertical="center" wrapText="1"/>
      <protection locked="0"/>
    </xf>
    <xf numFmtId="0" fontId="84" fillId="33" borderId="117" xfId="0" applyFont="1" applyFill="1" applyBorder="1" applyAlignment="1" applyProtection="1">
      <alignment horizontal="center" vertical="center" wrapText="1"/>
      <protection locked="0"/>
    </xf>
    <xf numFmtId="0" fontId="82" fillId="33" borderId="10" xfId="0" applyFont="1" applyFill="1" applyBorder="1" applyAlignment="1" applyProtection="1">
      <alignment horizontal="center" vertical="center" wrapText="1"/>
      <protection locked="0"/>
    </xf>
    <xf numFmtId="0" fontId="82" fillId="33" borderId="12" xfId="0" applyFont="1" applyFill="1" applyBorder="1" applyAlignment="1" applyProtection="1">
      <alignment horizontal="center" vertical="center" wrapText="1"/>
      <protection locked="0"/>
    </xf>
    <xf numFmtId="0" fontId="0" fillId="34" borderId="53" xfId="0" applyFill="1" applyBorder="1" applyAlignment="1">
      <alignment horizontal="center" wrapText="1"/>
    </xf>
    <xf numFmtId="0" fontId="0" fillId="34" borderId="76" xfId="0" applyFill="1" applyBorder="1" applyAlignment="1">
      <alignment horizontal="center" wrapText="1"/>
    </xf>
    <xf numFmtId="0" fontId="82" fillId="37" borderId="119" xfId="0" applyFont="1" applyFill="1" applyBorder="1" applyAlignment="1" applyProtection="1">
      <alignment horizontal="center" vertical="center" wrapText="1"/>
      <protection locked="0"/>
    </xf>
    <xf numFmtId="0" fontId="82" fillId="37" borderId="117" xfId="0" applyFont="1" applyFill="1" applyBorder="1" applyAlignment="1" applyProtection="1">
      <alignment horizontal="center" vertical="center" wrapText="1"/>
      <protection locked="0"/>
    </xf>
    <xf numFmtId="49" fontId="84" fillId="37" borderId="120" xfId="0" applyNumberFormat="1" applyFont="1" applyFill="1" applyBorder="1" applyAlignment="1" applyProtection="1">
      <alignment horizontal="center" vertical="center" wrapText="1"/>
      <protection locked="0"/>
    </xf>
    <xf numFmtId="49" fontId="84" fillId="37" borderId="9" xfId="0" applyNumberFormat="1" applyFont="1" applyFill="1" applyBorder="1" applyAlignment="1" applyProtection="1">
      <alignment horizontal="center" vertical="center" wrapText="1"/>
      <protection locked="0"/>
    </xf>
    <xf numFmtId="49" fontId="84" fillId="37" borderId="10" xfId="0" applyNumberFormat="1" applyFont="1" applyFill="1" applyBorder="1" applyAlignment="1" applyProtection="1">
      <alignment horizontal="center" vertical="center" wrapText="1"/>
      <protection locked="0"/>
    </xf>
    <xf numFmtId="0" fontId="82" fillId="33" borderId="6" xfId="0" applyFont="1" applyFill="1" applyBorder="1" applyAlignment="1" applyProtection="1">
      <alignment horizontal="center" vertical="center" wrapText="1"/>
      <protection locked="0"/>
    </xf>
    <xf numFmtId="0" fontId="86" fillId="0" borderId="10" xfId="0" applyFont="1" applyBorder="1" applyAlignment="1">
      <alignment horizontal="center" vertical="center" wrapText="1"/>
    </xf>
    <xf numFmtId="0" fontId="86" fillId="0" borderId="6" xfId="0" applyFont="1" applyBorder="1" applyAlignment="1">
      <alignment horizontal="center" vertical="center" wrapText="1"/>
    </xf>
    <xf numFmtId="0" fontId="86" fillId="0" borderId="12" xfId="0" applyFont="1" applyBorder="1" applyAlignment="1">
      <alignment horizontal="center" vertical="center" wrapText="1"/>
    </xf>
    <xf numFmtId="0" fontId="84" fillId="33" borderId="127" xfId="0" applyFont="1" applyFill="1" applyBorder="1" applyAlignment="1" applyProtection="1">
      <alignment horizontal="center" vertical="center" wrapText="1"/>
      <protection locked="0"/>
    </xf>
    <xf numFmtId="0" fontId="8" fillId="39" borderId="63" xfId="0" applyFont="1" applyFill="1" applyBorder="1" applyAlignment="1">
      <alignment horizontal="center" vertical="center" wrapText="1"/>
    </xf>
    <xf numFmtId="0" fontId="8" fillId="39" borderId="8" xfId="0" applyFont="1" applyFill="1" applyBorder="1" applyAlignment="1">
      <alignment horizontal="center" vertical="center" wrapText="1"/>
    </xf>
    <xf numFmtId="0" fontId="8" fillId="39" borderId="16" xfId="0" applyFont="1" applyFill="1" applyBorder="1" applyAlignment="1">
      <alignment horizontal="center" vertical="center" wrapText="1"/>
    </xf>
    <xf numFmtId="0" fontId="8" fillId="39" borderId="129" xfId="0" applyFont="1" applyFill="1" applyBorder="1" applyAlignment="1">
      <alignment horizontal="center" vertical="center" wrapText="1"/>
    </xf>
    <xf numFmtId="0" fontId="8" fillId="39" borderId="130" xfId="0" applyFont="1" applyFill="1" applyBorder="1" applyAlignment="1">
      <alignment horizontal="center" vertical="center" wrapText="1"/>
    </xf>
    <xf numFmtId="0" fontId="89" fillId="38" borderId="63" xfId="0" applyFont="1" applyFill="1" applyBorder="1" applyAlignment="1">
      <alignment vertical="center" wrapText="1"/>
    </xf>
    <xf numFmtId="0" fontId="89" fillId="38" borderId="16" xfId="0" applyFont="1" applyFill="1" applyBorder="1" applyAlignment="1">
      <alignment vertical="center" wrapText="1"/>
    </xf>
    <xf numFmtId="0" fontId="89" fillId="38" borderId="129" xfId="0" applyFont="1" applyFill="1" applyBorder="1" applyAlignment="1">
      <alignment vertical="center" wrapText="1"/>
    </xf>
    <xf numFmtId="0" fontId="5" fillId="38" borderId="128" xfId="0" applyFont="1" applyFill="1" applyBorder="1" applyAlignment="1">
      <alignment vertical="center"/>
    </xf>
    <xf numFmtId="0" fontId="5" fillId="38" borderId="9" xfId="0" applyFont="1" applyFill="1" applyBorder="1" applyAlignment="1">
      <alignment vertical="center"/>
    </xf>
    <xf numFmtId="0" fontId="5" fillId="38" borderId="0" xfId="0" applyFont="1" applyFill="1" applyAlignment="1">
      <alignment vertical="center"/>
    </xf>
    <xf numFmtId="0" fontId="93" fillId="6" borderId="63" xfId="0" applyFont="1" applyFill="1" applyBorder="1" applyAlignment="1">
      <alignment horizontal="center" vertical="center" wrapText="1"/>
    </xf>
    <xf numFmtId="0" fontId="93" fillId="6" borderId="8" xfId="0" applyFont="1" applyFill="1" applyBorder="1" applyAlignment="1">
      <alignment horizontal="center" vertical="center" wrapText="1"/>
    </xf>
    <xf numFmtId="0" fontId="93" fillId="6" borderId="16" xfId="0" applyFont="1" applyFill="1" applyBorder="1" applyAlignment="1">
      <alignment horizontal="center" vertical="center" wrapText="1"/>
    </xf>
    <xf numFmtId="0" fontId="93" fillId="6" borderId="17" xfId="0" applyFont="1" applyFill="1" applyBorder="1" applyAlignment="1">
      <alignment horizontal="center" vertical="center" wrapText="1"/>
    </xf>
    <xf numFmtId="0" fontId="5" fillId="38" borderId="16" xfId="0" applyFont="1" applyFill="1" applyBorder="1" applyAlignment="1">
      <alignment horizontal="center" vertical="center"/>
    </xf>
    <xf numFmtId="0" fontId="5" fillId="38" borderId="0" xfId="0" applyFont="1" applyFill="1" applyAlignment="1">
      <alignment horizontal="center" vertical="center"/>
    </xf>
    <xf numFmtId="0" fontId="93" fillId="38" borderId="63" xfId="0" applyFont="1" applyFill="1" applyBorder="1" applyAlignment="1">
      <alignment horizontal="center" vertical="center" wrapText="1"/>
    </xf>
    <xf numFmtId="0" fontId="93" fillId="38" borderId="8" xfId="0" applyFont="1" applyFill="1" applyBorder="1" applyAlignment="1">
      <alignment horizontal="center" vertical="center" wrapText="1"/>
    </xf>
    <xf numFmtId="0" fontId="93" fillId="38" borderId="16" xfId="0" applyFont="1" applyFill="1" applyBorder="1" applyAlignment="1">
      <alignment horizontal="center" vertical="center" wrapText="1"/>
    </xf>
    <xf numFmtId="0" fontId="93" fillId="38" borderId="17" xfId="0" applyFont="1" applyFill="1" applyBorder="1" applyAlignment="1">
      <alignment horizontal="center" vertical="center" wrapText="1"/>
    </xf>
    <xf numFmtId="0" fontId="8" fillId="39" borderId="133" xfId="0" applyFont="1" applyFill="1" applyBorder="1" applyAlignment="1">
      <alignment horizontal="center" vertical="center" wrapText="1"/>
    </xf>
    <xf numFmtId="0" fontId="8" fillId="39" borderId="134" xfId="0" applyFont="1" applyFill="1" applyBorder="1" applyAlignment="1">
      <alignment horizontal="center" vertical="center" wrapText="1"/>
    </xf>
    <xf numFmtId="0" fontId="8" fillId="39" borderId="132" xfId="0" applyFont="1" applyFill="1" applyBorder="1" applyAlignment="1">
      <alignment horizontal="center" vertical="center" wrapText="1"/>
    </xf>
    <xf numFmtId="0" fontId="5" fillId="38" borderId="9" xfId="0" applyFont="1" applyFill="1" applyBorder="1" applyAlignment="1">
      <alignment horizontal="center" vertical="center"/>
    </xf>
    <xf numFmtId="0" fontId="86" fillId="40" borderId="63" xfId="0" applyFont="1" applyFill="1" applyBorder="1" applyAlignment="1">
      <alignment horizontal="center" vertical="center"/>
    </xf>
    <xf numFmtId="0" fontId="86" fillId="40" borderId="16" xfId="0" applyFont="1" applyFill="1" applyBorder="1" applyAlignment="1">
      <alignment horizontal="center" vertical="center"/>
    </xf>
    <xf numFmtId="0" fontId="86" fillId="40" borderId="129" xfId="0" applyFont="1" applyFill="1" applyBorder="1" applyAlignment="1">
      <alignment horizontal="center" vertical="center"/>
    </xf>
    <xf numFmtId="0" fontId="70" fillId="0" borderId="136" xfId="0" applyFont="1" applyBorder="1" applyAlignment="1">
      <alignment vertical="center" wrapText="1"/>
    </xf>
    <xf numFmtId="0" fontId="70" fillId="0" borderId="0" xfId="0" applyFont="1" applyAlignment="1">
      <alignment vertical="center" wrapText="1"/>
    </xf>
    <xf numFmtId="0" fontId="42" fillId="38" borderId="63" xfId="0" applyFont="1" applyFill="1" applyBorder="1" applyAlignment="1">
      <alignment horizontal="center" vertical="center"/>
    </xf>
    <xf numFmtId="0" fontId="42" fillId="38" borderId="16" xfId="0" applyFont="1" applyFill="1" applyBorder="1" applyAlignment="1">
      <alignment horizontal="center" vertical="center"/>
    </xf>
    <xf numFmtId="0" fontId="42" fillId="38" borderId="129" xfId="0" applyFont="1" applyFill="1" applyBorder="1" applyAlignment="1">
      <alignment horizontal="center" vertical="center"/>
    </xf>
    <xf numFmtId="0" fontId="17" fillId="36" borderId="18" xfId="12" applyFont="1" applyFill="1" applyBorder="1" applyAlignment="1">
      <alignment horizontal="left"/>
    </xf>
    <xf numFmtId="0" fontId="17" fillId="36" borderId="19" xfId="12" applyFont="1" applyFill="1" applyBorder="1" applyAlignment="1">
      <alignment horizontal="left"/>
    </xf>
    <xf numFmtId="0" fontId="17" fillId="36" borderId="20" xfId="12" applyFont="1" applyFill="1" applyBorder="1" applyAlignment="1">
      <alignment horizontal="left"/>
    </xf>
    <xf numFmtId="0" fontId="17" fillId="36" borderId="13" xfId="12" applyFont="1" applyFill="1" applyBorder="1" applyAlignment="1">
      <alignment horizontal="left"/>
    </xf>
    <xf numFmtId="0" fontId="17" fillId="36" borderId="14" xfId="12" applyFont="1" applyFill="1" applyBorder="1" applyAlignment="1">
      <alignment horizontal="left"/>
    </xf>
    <xf numFmtId="0" fontId="17" fillId="36" borderId="15" xfId="12" applyFont="1" applyFill="1" applyBorder="1" applyAlignment="1">
      <alignment horizontal="left"/>
    </xf>
    <xf numFmtId="0" fontId="100" fillId="40" borderId="53" xfId="12" applyFont="1" applyFill="1" applyBorder="1" applyAlignment="1">
      <alignment horizontal="center"/>
    </xf>
    <xf numFmtId="0" fontId="100" fillId="40" borderId="54" xfId="12" applyFont="1" applyFill="1" applyBorder="1" applyAlignment="1">
      <alignment horizontal="center"/>
    </xf>
    <xf numFmtId="0" fontId="99" fillId="40" borderId="53" xfId="12" applyFont="1" applyFill="1" applyBorder="1" applyAlignment="1">
      <alignment horizontal="center"/>
    </xf>
    <xf numFmtId="0" fontId="99" fillId="40" borderId="76" xfId="12" applyFont="1" applyFill="1" applyBorder="1" applyAlignment="1">
      <alignment horizontal="center"/>
    </xf>
    <xf numFmtId="166" fontId="0" fillId="8" borderId="36" xfId="0" applyNumberFormat="1" applyFill="1" applyBorder="1" applyAlignment="1">
      <alignment horizontal="left" vertical="center" wrapText="1" indent="1"/>
    </xf>
    <xf numFmtId="166" fontId="0" fillId="8" borderId="37" xfId="0" applyNumberFormat="1" applyFill="1" applyBorder="1" applyAlignment="1">
      <alignment horizontal="left" vertical="center" wrapText="1" indent="1"/>
    </xf>
    <xf numFmtId="166" fontId="0" fillId="8" borderId="38" xfId="0" applyNumberFormat="1" applyFill="1" applyBorder="1" applyAlignment="1">
      <alignment horizontal="left" vertical="center" wrapText="1" indent="1"/>
    </xf>
    <xf numFmtId="0" fontId="23" fillId="0" borderId="22" xfId="10" applyAlignment="1">
      <alignment horizontal="right" indent="1"/>
    </xf>
    <xf numFmtId="0" fontId="23" fillId="0" borderId="34" xfId="10" applyBorder="1" applyAlignment="1">
      <alignment horizontal="right" indent="1"/>
    </xf>
    <xf numFmtId="165" fontId="19" fillId="0" borderId="35" xfId="3">
      <alignment horizontal="center" vertical="center"/>
    </xf>
    <xf numFmtId="0" fontId="7" fillId="4" borderId="13" xfId="0" applyFont="1" applyFill="1" applyBorder="1" applyAlignment="1">
      <alignment horizontal="center" vertical="center" wrapText="1"/>
    </xf>
    <xf numFmtId="0" fontId="0" fillId="0" borderId="14" xfId="0" applyBorder="1"/>
    <xf numFmtId="0" fontId="0" fillId="0" borderId="15" xfId="0" applyBorder="1"/>
    <xf numFmtId="0" fontId="7" fillId="4" borderId="13" xfId="0" quotePrefix="1"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9" fillId="0" borderId="18" xfId="0" applyFont="1" applyBorder="1" applyAlignment="1">
      <alignment horizontal="center" wrapText="1"/>
    </xf>
    <xf numFmtId="0" fontId="0" fillId="0" borderId="19" xfId="0" applyBorder="1"/>
    <xf numFmtId="0" fontId="0" fillId="0" borderId="20" xfId="0" applyBorder="1"/>
    <xf numFmtId="0" fontId="9" fillId="0" borderId="18" xfId="0" applyFont="1" applyBorder="1" applyAlignment="1">
      <alignment horizontal="center"/>
    </xf>
    <xf numFmtId="2" fontId="5" fillId="0" borderId="0" xfId="12" applyNumberFormat="1" applyAlignment="1">
      <alignment horizontal="center"/>
    </xf>
    <xf numFmtId="49" fontId="6" fillId="35" borderId="0" xfId="12" applyNumberFormat="1" applyFont="1" applyFill="1" applyAlignment="1">
      <alignment horizontal="left" vertical="center" wrapText="1"/>
    </xf>
    <xf numFmtId="0" fontId="16" fillId="42" borderId="140" xfId="12" applyFont="1" applyFill="1" applyBorder="1" applyAlignment="1">
      <alignment horizontal="center"/>
    </xf>
    <xf numFmtId="2" fontId="16" fillId="42" borderId="140" xfId="12" applyNumberFormat="1" applyFont="1" applyFill="1" applyBorder="1" applyAlignment="1">
      <alignment horizontal="center"/>
    </xf>
    <xf numFmtId="0" fontId="16" fillId="42" borderId="140" xfId="12" applyFont="1" applyFill="1" applyBorder="1"/>
    <xf numFmtId="0" fontId="16" fillId="42" borderId="115" xfId="12" applyFont="1" applyFill="1" applyBorder="1"/>
    <xf numFmtId="0" fontId="16" fillId="42" borderId="1" xfId="12" applyFont="1" applyFill="1" applyBorder="1" applyAlignment="1">
      <alignment horizontal="center"/>
    </xf>
    <xf numFmtId="2" fontId="16" fillId="42" borderId="1" xfId="12" applyNumberFormat="1" applyFont="1" applyFill="1" applyBorder="1" applyAlignment="1">
      <alignment horizontal="center"/>
    </xf>
    <xf numFmtId="0" fontId="16" fillId="42" borderId="1" xfId="12" applyFont="1" applyFill="1" applyBorder="1"/>
    <xf numFmtId="0" fontId="16" fillId="42" borderId="2" xfId="12" applyFont="1" applyFill="1" applyBorder="1"/>
    <xf numFmtId="2" fontId="16" fillId="42" borderId="1" xfId="12" applyNumberFormat="1" applyFont="1" applyFill="1" applyBorder="1"/>
    <xf numFmtId="0" fontId="38" fillId="42" borderId="4" xfId="12" applyFont="1" applyFill="1" applyBorder="1" applyAlignment="1">
      <alignment horizontal="center"/>
    </xf>
    <xf numFmtId="2" fontId="38" fillId="42" borderId="4" xfId="12" applyNumberFormat="1" applyFont="1" applyFill="1" applyBorder="1" applyAlignment="1">
      <alignment horizontal="center"/>
    </xf>
    <xf numFmtId="0" fontId="38" fillId="42" borderId="3" xfId="12" applyFont="1" applyFill="1" applyBorder="1" applyAlignment="1">
      <alignment horizontal="center"/>
    </xf>
    <xf numFmtId="0" fontId="32" fillId="0" borderId="78" xfId="12" applyFont="1" applyBorder="1" applyAlignment="1">
      <alignment wrapText="1"/>
    </xf>
    <xf numFmtId="0" fontId="32" fillId="0" borderId="14" xfId="12" applyFont="1" applyBorder="1" applyAlignment="1">
      <alignment wrapText="1"/>
    </xf>
    <xf numFmtId="0" fontId="32" fillId="0" borderId="103" xfId="12" applyFont="1" applyBorder="1" applyAlignment="1">
      <alignment wrapText="1"/>
    </xf>
    <xf numFmtId="0" fontId="0" fillId="0" borderId="78" xfId="12" applyFont="1" applyBorder="1" applyAlignment="1">
      <alignment wrapText="1"/>
    </xf>
    <xf numFmtId="0" fontId="0" fillId="0" borderId="14" xfId="12" applyFont="1" applyBorder="1" applyAlignment="1">
      <alignment wrapText="1"/>
    </xf>
    <xf numFmtId="0" fontId="0" fillId="0" borderId="103" xfId="12" applyFont="1" applyBorder="1" applyAlignment="1">
      <alignment wrapText="1"/>
    </xf>
    <xf numFmtId="0" fontId="82" fillId="33" borderId="71" xfId="0" applyFont="1" applyFill="1" applyBorder="1" applyAlignment="1" applyProtection="1">
      <alignment horizontal="center" vertical="center" wrapText="1"/>
      <protection locked="0"/>
    </xf>
    <xf numFmtId="0" fontId="1" fillId="0" borderId="1" xfId="0" applyFont="1" applyBorder="1" applyAlignment="1">
      <alignment vertical="center" wrapText="1"/>
    </xf>
  </cellXfs>
  <cellStyles count="23">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Normal 3 2 2 2" xfId="21" xr:uid="{F1777C5C-D612-4DAE-A744-A0E0233FB87C}"/>
    <cellStyle name="Porcentagem" xfId="6" builtinId="5"/>
    <cellStyle name="Porcentagem 2" xfId="20" xr:uid="{DD4485E6-46B2-4568-8B1E-DB364132CBAA}"/>
    <cellStyle name="Porcentagem 3" xfId="22" xr:uid="{DACE40D6-6ECC-4CDF-893C-133F7022CD7A}"/>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11">
    <dxf>
      <fill>
        <patternFill>
          <bgColor theme="7"/>
        </patternFill>
      </fill>
      <border>
        <left/>
        <right/>
      </border>
    </dxf>
    <dxf>
      <fill>
        <patternFill>
          <bgColor theme="0" tint="-0.34998626667073579"/>
        </patternFill>
      </fill>
    </dxf>
    <dxf>
      <border>
        <left style="thin">
          <color rgb="FFC00000"/>
        </left>
        <right style="thin">
          <color rgb="FFC00000"/>
        </right>
      </border>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A679E7"/>
      <color rgb="FFDCCAF6"/>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a:t>Relação entre Investimento Orçado e Realizado</a:t>
            </a:r>
          </a:p>
        </c:rich>
      </c:tx>
      <c:layout>
        <c:manualLayout>
          <c:xMode val="edge"/>
          <c:yMode val="edge"/>
          <c:x val="0.1526338666265443"/>
          <c:y val="1.8325087044163461E-2"/>
        </c:manualLayout>
      </c:layout>
      <c:overlay val="0"/>
    </c:title>
    <c:autoTitleDeleted val="0"/>
    <c:plotArea>
      <c:layout/>
      <c:lineChart>
        <c:grouping val="standard"/>
        <c:varyColors val="0"/>
        <c:ser>
          <c:idx val="3"/>
          <c:order val="1"/>
          <c:tx>
            <c:strRef>
              <c:f>'Gráfico -Status'!$E$3</c:f>
              <c:strCache>
                <c:ptCount val="1"/>
                <c:pt idx="0">
                  <c:v>Orçado</c:v>
                </c:pt>
              </c:strCache>
            </c:strRef>
          </c:tx>
          <c:marker>
            <c:symbol val="none"/>
          </c:marker>
          <c:val>
            <c:numRef>
              <c:f>'Gráfico -Status'!$E$4:$E$13</c:f>
              <c:numCache>
                <c:formatCode>#,##0</c:formatCode>
                <c:ptCount val="10"/>
                <c:pt idx="0">
                  <c:v>110000</c:v>
                </c:pt>
                <c:pt idx="1">
                  <c:v>120388.23000000001</c:v>
                </c:pt>
                <c:pt idx="2">
                  <c:v>130693.68800000001</c:v>
                </c:pt>
                <c:pt idx="3">
                  <c:v>138679.6918</c:v>
                </c:pt>
                <c:pt idx="4">
                  <c:v>146914.29598</c:v>
                </c:pt>
                <c:pt idx="5">
                  <c:v>155972.36057799999</c:v>
                </c:pt>
                <c:pt idx="6">
                  <c:v>165936.23163579998</c:v>
                </c:pt>
                <c:pt idx="7">
                  <c:v>176896.48979937998</c:v>
                </c:pt>
                <c:pt idx="8">
                  <c:v>188952.773779318</c:v>
                </c:pt>
                <c:pt idx="9">
                  <c:v>202214.68615724982</c:v>
                </c:pt>
              </c:numCache>
            </c:numRef>
          </c:val>
          <c:smooth val="0"/>
          <c:extLst>
            <c:ext xmlns:c16="http://schemas.microsoft.com/office/drawing/2014/chart" uri="{C3380CC4-5D6E-409C-BE32-E72D297353CC}">
              <c16:uniqueId val="{00000000-C834-4CEE-B6F9-B8D163250308}"/>
            </c:ext>
          </c:extLst>
        </c:ser>
        <c:ser>
          <c:idx val="4"/>
          <c:order val="2"/>
          <c:tx>
            <c:strRef>
              <c:f>'Gráfico -Status'!$F$3</c:f>
              <c:strCache>
                <c:ptCount val="1"/>
                <c:pt idx="0">
                  <c:v>Realizado</c:v>
                </c:pt>
              </c:strCache>
            </c:strRef>
          </c:tx>
          <c:marker>
            <c:symbol val="none"/>
          </c:marker>
          <c:val>
            <c:numRef>
              <c:f>'Gráfico -Status'!$F$4:$F$13</c:f>
              <c:numCache>
                <c:formatCode>#,##0</c:formatCode>
                <c:ptCount val="10"/>
                <c:pt idx="0">
                  <c:v>158109</c:v>
                </c:pt>
                <c:pt idx="1">
                  <c:v>166096.4</c:v>
                </c:pt>
                <c:pt idx="2">
                  <c:v>174804.54</c:v>
                </c:pt>
                <c:pt idx="3">
                  <c:v>184305.49400000001</c:v>
                </c:pt>
                <c:pt idx="4">
                  <c:v>194678.54340000002</c:v>
                </c:pt>
                <c:pt idx="5">
                  <c:v>206010.89774000001</c:v>
                </c:pt>
                <c:pt idx="6">
                  <c:v>218398.48751400001</c:v>
                </c:pt>
                <c:pt idx="7">
                  <c:v>231946.83626540002</c:v>
                </c:pt>
                <c:pt idx="8">
                  <c:v>246772.01989194003</c:v>
                </c:pt>
                <c:pt idx="9">
                  <c:v>263001.72188113403</c:v>
                </c:pt>
              </c:numCache>
            </c:numRef>
          </c:val>
          <c:smooth val="0"/>
          <c:extLst>
            <c:ext xmlns:c16="http://schemas.microsoft.com/office/drawing/2014/chart" uri="{C3380CC4-5D6E-409C-BE32-E72D297353CC}">
              <c16:uniqueId val="{00000001-C834-4CEE-B6F9-B8D163250308}"/>
            </c:ext>
          </c:extLst>
        </c:ser>
        <c:dLbls>
          <c:showLegendKey val="0"/>
          <c:showVal val="0"/>
          <c:showCatName val="0"/>
          <c:showSerName val="0"/>
          <c:showPercent val="0"/>
          <c:showBubbleSize val="0"/>
        </c:dLbls>
        <c:smooth val="0"/>
        <c:axId val="-118521552"/>
        <c:axId val="-118518832"/>
        <c:extLst>
          <c:ext xmlns:c15="http://schemas.microsoft.com/office/drawing/2012/chart" uri="{02D57815-91ED-43cb-92C2-25804820EDAC}">
            <c15:filteredLineSeries>
              <c15:ser>
                <c:idx val="0"/>
                <c:order val="0"/>
                <c:tx>
                  <c:strRef>
                    <c:extLst>
                      <c:ext uri="{02D57815-91ED-43cb-92C2-25804820EDAC}">
                        <c15:formulaRef>
                          <c15:sqref>'Gráfico -Status'!$B$3</c15:sqref>
                        </c15:formulaRef>
                      </c:ext>
                    </c:extLst>
                    <c:strCache>
                      <c:ptCount val="1"/>
                      <c:pt idx="0">
                        <c:v>Mês</c:v>
                      </c:pt>
                    </c:strCache>
                  </c:strRef>
                </c:tx>
                <c:marker>
                  <c:symbol val="none"/>
                </c:marker>
                <c:val>
                  <c:numRef>
                    <c:extLst>
                      <c:ext uri="{02D57815-91ED-43cb-92C2-25804820EDAC}">
                        <c15:formulaRef>
                          <c15:sqref>'Gráfico -Status'!$B$4:$B$13</c15:sqref>
                        </c15:formulaRef>
                      </c:ext>
                    </c:extLst>
                    <c:numCache>
                      <c:formatCode>General</c:formatCode>
                      <c:ptCount val="10"/>
                      <c:pt idx="0">
                        <c:v>0</c:v>
                      </c:pt>
                      <c:pt idx="1">
                        <c:v>1</c:v>
                      </c:pt>
                      <c:pt idx="2">
                        <c:v>2</c:v>
                      </c:pt>
                      <c:pt idx="3">
                        <c:v>3</c:v>
                      </c:pt>
                      <c:pt idx="4">
                        <c:v>4</c:v>
                      </c:pt>
                      <c:pt idx="5">
                        <c:v>5</c:v>
                      </c:pt>
                      <c:pt idx="6">
                        <c:v>6</c:v>
                      </c:pt>
                      <c:pt idx="7">
                        <c:v>7</c:v>
                      </c:pt>
                      <c:pt idx="8">
                        <c:v>8</c:v>
                      </c:pt>
                      <c:pt idx="9">
                        <c:v>9</c:v>
                      </c:pt>
                    </c:numCache>
                  </c:numRef>
                </c:val>
                <c:smooth val="0"/>
                <c:extLst>
                  <c:ext xmlns:c16="http://schemas.microsoft.com/office/drawing/2014/chart" uri="{C3380CC4-5D6E-409C-BE32-E72D297353CC}">
                    <c16:uniqueId val="{00000002-C834-4CEE-B6F9-B8D163250308}"/>
                  </c:ext>
                </c:extLst>
              </c15:ser>
            </c15:filteredLineSeries>
          </c:ext>
        </c:extLst>
      </c:lineChart>
      <c:catAx>
        <c:axId val="-118521552"/>
        <c:scaling>
          <c:orientation val="minMax"/>
        </c:scaling>
        <c:delete val="0"/>
        <c:axPos val="b"/>
        <c:numFmt formatCode="General" sourceLinked="1"/>
        <c:majorTickMark val="out"/>
        <c:minorTickMark val="none"/>
        <c:tickLblPos val="nextTo"/>
        <c:crossAx val="-118518832"/>
        <c:crosses val="autoZero"/>
        <c:auto val="1"/>
        <c:lblAlgn val="ctr"/>
        <c:lblOffset val="100"/>
        <c:noMultiLvlLbl val="0"/>
      </c:catAx>
      <c:valAx>
        <c:axId val="-118518832"/>
        <c:scaling>
          <c:orientation val="minMax"/>
        </c:scaling>
        <c:delete val="0"/>
        <c:axPos val="l"/>
        <c:majorGridlines/>
        <c:numFmt formatCode="#,##0" sourceLinked="1"/>
        <c:majorTickMark val="out"/>
        <c:minorTickMark val="none"/>
        <c:tickLblPos val="nextTo"/>
        <c:crossAx val="-1185215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5" qsCatId="simple" csTypeId="urn:microsoft.com/office/officeart/2005/8/colors/colorful5" csCatId="colorful" phldr="1"/>
      <dgm:spPr/>
      <dgm:t>
        <a:bodyPr/>
        <a:lstStyle/>
        <a:p>
          <a:endParaRPr lang="pt-BR"/>
        </a:p>
      </dgm:t>
    </dgm:pt>
    <dgm:pt modelId="{025397C8-278A-4FB7-A986-A1B487EA1563}">
      <dgm:prSet phldrT="[Texto]" custT="1"/>
      <dgm:spPr/>
      <dgm:t>
        <a:bodyPr/>
        <a:lstStyle/>
        <a:p>
          <a:r>
            <a:rPr lang="pt-BR" sz="600" b="1"/>
            <a:t>INTEGRAÇÃO </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custT="1"/>
      <dgm:spPr/>
      <dgm:t>
        <a:bodyPr/>
        <a:lstStyle/>
        <a:p>
          <a:r>
            <a:rPr lang="pt-BR" sz="600"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14FC8420-D447-4CEA-A3B7-61E9B3749D8E}">
      <dgm:prSet phldrT="[Texto]" custT="1"/>
      <dgm:spPr/>
      <dgm:t>
        <a:bodyPr/>
        <a:lstStyle/>
        <a:p>
          <a:r>
            <a:rPr lang="pt-BR" sz="600" b="1"/>
            <a:t>EXPANSÃO</a:t>
          </a:r>
        </a:p>
      </dgm:t>
    </dgm:pt>
    <dgm:pt modelId="{EC92CB9E-5DFE-4287-A9E0-4954C06F656B}" type="parTrans" cxnId="{90A22982-35F0-4690-94C9-FC7C7030A57B}">
      <dgm:prSet/>
      <dgm:spPr/>
      <dgm:t>
        <a:bodyPr/>
        <a:lstStyle/>
        <a:p>
          <a:endParaRPr lang="pt-BR"/>
        </a:p>
      </dgm:t>
    </dgm:pt>
    <dgm:pt modelId="{E9188AE6-C38D-49A6-B8A2-AFBE7B3ACBE6}" type="sibTrans" cxnId="{90A22982-35F0-4690-94C9-FC7C7030A57B}">
      <dgm:prSet/>
      <dgm:spPr/>
      <dgm:t>
        <a:bodyPr/>
        <a:lstStyle/>
        <a:p>
          <a:endParaRPr lang="pt-BR"/>
        </a:p>
      </dgm:t>
    </dgm:pt>
    <dgm:pt modelId="{905ED552-0ABB-46DE-A60F-9DB1B7EBD348}">
      <dgm:prSet custT="1"/>
      <dgm:spPr/>
      <dgm:t>
        <a:bodyPr/>
        <a:lstStyle/>
        <a:p>
          <a:r>
            <a:rPr lang="pt-BR" sz="500" b="1"/>
            <a:t>AVALIAÇÃO</a:t>
          </a:r>
        </a:p>
        <a:p>
          <a:r>
            <a:rPr lang="pt-BR" sz="500" b="1"/>
            <a:t>E APERFEICOAMENTO</a:t>
          </a:r>
        </a:p>
      </dgm:t>
    </dgm:pt>
    <dgm:pt modelId="{C0EE7375-36E6-4281-9237-5F5EEB6505C0}" type="parTrans" cxnId="{81FD159E-5A59-47E9-B060-7B6EB6770B16}">
      <dgm:prSet/>
      <dgm:spPr/>
      <dgm:t>
        <a:bodyPr/>
        <a:lstStyle/>
        <a:p>
          <a:endParaRPr lang="pt-BR"/>
        </a:p>
      </dgm:t>
    </dgm:pt>
    <dgm:pt modelId="{CB9B60C3-837E-4475-B99D-FCE33FAFF27C}" type="sibTrans" cxnId="{81FD159E-5A59-47E9-B060-7B6EB6770B16}">
      <dgm:prSet/>
      <dgm:spPr/>
      <dgm:t>
        <a:bodyPr/>
        <a:lstStyle/>
        <a:p>
          <a:endParaRPr lang="pt-BR"/>
        </a:p>
      </dgm:t>
    </dgm:pt>
    <dgm:pt modelId="{5901CCA6-EF9E-4F05-B532-AFA0A830E4D5}">
      <dgm:prSet custT="1"/>
      <dgm:spPr/>
      <dgm:t>
        <a:bodyPr/>
        <a:lstStyle/>
        <a:p>
          <a:r>
            <a:rPr lang="pt-BR" sz="600" b="1"/>
            <a:t>PÓS-LANÇAMENTO</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424E63FB-7A5E-47ED-BA8E-381C8BEA7B4D}">
      <dgm:prSet custT="1"/>
      <dgm:spPr/>
      <dgm:t>
        <a:bodyPr/>
        <a:lstStyle/>
        <a:p>
          <a:r>
            <a:rPr lang="pt-BR" sz="600" b="1"/>
            <a:t>LANÇAMENTO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dgm:t>
        <a:bodyPr/>
        <a:lstStyle/>
        <a:p>
          <a:r>
            <a:rPr lang="pt-BR" sz="800" b="1"/>
            <a:t> DESENVOLVIMENTO TÉCNICO</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dgm:t>
        <a:bodyPr/>
        <a:lstStyle/>
        <a:p>
          <a:r>
            <a:rPr lang="pt-BR" sz="600" b="1"/>
            <a:t>PLANEJAMENTO</a:t>
          </a:r>
          <a:endParaRPr lang="pt-BR" sz="900" b="1"/>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dgm:t>
        <a:bodyPr/>
        <a:lstStyle/>
        <a:p>
          <a:r>
            <a:rPr lang="pt-BR" sz="500" b="1"/>
            <a:t>INÍCIO</a:t>
          </a:r>
          <a:endParaRPr lang="pt-BR" sz="1000" b="1"/>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DEFINIÇÃO </a:t>
          </a:r>
          <a:r>
            <a:rPr lang="pt-BR" b="0"/>
            <a:t>DE</a:t>
          </a:r>
          <a:r>
            <a:rPr lang="pt-BR"/>
            <a:t> OBJETIVOS DO PROJETO</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ANÁLISE DE MERCADO</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custT="1"/>
      <dgm:spPr/>
      <dgm:t>
        <a:bodyPr/>
        <a:lstStyle/>
        <a:p>
          <a:r>
            <a:rPr lang="pt-BR" sz="600"/>
            <a:t>DESIGN UI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a:t>DEFINIR A ESTRUTURA DO SITE</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E2157045-4CE0-40CE-9C58-F4043DF91E33}">
      <dgm:prSet/>
      <dgm:spPr/>
      <dgm:t>
        <a:bodyPr/>
        <a:lstStyle/>
        <a:p>
          <a:r>
            <a:rPr lang="pt-BR"/>
            <a:t>INTEGRAÇÃO DE FONTES DE DADOS </a:t>
          </a:r>
        </a:p>
      </dgm:t>
    </dgm:pt>
    <dgm:pt modelId="{F9922145-9B07-49CE-9FA6-B33C82D2B167}" type="parTrans" cxnId="{762B93D8-43BE-42B3-8DE5-31247C71202B}">
      <dgm:prSet/>
      <dgm:spPr/>
      <dgm:t>
        <a:bodyPr/>
        <a:lstStyle/>
        <a:p>
          <a:endParaRPr lang="pt-BR"/>
        </a:p>
      </dgm:t>
    </dgm:pt>
    <dgm:pt modelId="{CA9D8683-4E32-4861-94E8-CF694F4D3BA3}" type="sibTrans" cxnId="{762B93D8-43BE-42B3-8DE5-31247C71202B}">
      <dgm:prSet/>
      <dgm:spPr/>
      <dgm:t>
        <a:bodyPr/>
        <a:lstStyle/>
        <a:p>
          <a:endParaRPr lang="pt-BR"/>
        </a:p>
      </dgm:t>
    </dgm:pt>
    <dgm:pt modelId="{D6F5CD79-D3E1-4B19-9C25-479267A00537}">
      <dgm:prSet/>
      <dgm:spPr/>
      <dgm:t>
        <a:bodyPr/>
        <a:lstStyle/>
        <a:p>
          <a:r>
            <a:rPr lang="pt-BR"/>
            <a:t>TESTES UNITÁRIOS</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ATIVAÇÃO</a:t>
          </a:r>
          <a:r>
            <a:rPr lang="pt-BR" baseline="0"/>
            <a:t> DO DASHBOARD EM PRODUÇÃO</a:t>
          </a:r>
          <a:endParaRPr lang="pt-B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23A96D7A-299B-4FA1-93D0-41E5DC2BDB0F}">
      <dgm:prSet/>
      <dgm:spPr/>
      <dgm:t>
        <a:bodyPr/>
        <a:lstStyle/>
        <a:p>
          <a:r>
            <a:rPr lang="pt-BR"/>
            <a:t>MONITORAÇÃO DE MÉTRICAS DE USO DO DASHBOARD</a:t>
          </a:r>
        </a:p>
      </dgm:t>
    </dgm:pt>
    <dgm:pt modelId="{E9B60A7F-1B58-4875-83A0-42F3D1E4F7F2}" type="parTrans" cxnId="{B7D1D96A-3311-42A6-95E4-ADEB798CB0AE}">
      <dgm:prSet/>
      <dgm:spPr/>
      <dgm:t>
        <a:bodyPr/>
        <a:lstStyle/>
        <a:p>
          <a:endParaRPr lang="pt-BR"/>
        </a:p>
      </dgm:t>
    </dgm:pt>
    <dgm:pt modelId="{2B4DE4BC-1F11-40B8-BA40-4D746CA32CA5}" type="sibTrans" cxnId="{B7D1D96A-3311-42A6-95E4-ADEB798CB0AE}">
      <dgm:prSet/>
      <dgm:spPr/>
      <dgm:t>
        <a:bodyPr/>
        <a:lstStyle/>
        <a:p>
          <a:endParaRPr lang="pt-BR"/>
        </a:p>
      </dgm:t>
    </dgm:pt>
    <dgm:pt modelId="{FA075ABC-5CA4-4216-8E88-E8C82245409F}">
      <dgm:prSet/>
      <dgm:spPr/>
      <dgm:t>
        <a:bodyPr/>
        <a:lstStyle/>
        <a:p>
          <a:r>
            <a:rPr lang="pt-BR"/>
            <a:t>COLETA DE FEEDBACKS</a:t>
          </a:r>
        </a:p>
      </dgm:t>
    </dgm:pt>
    <dgm:pt modelId="{164BE56B-4369-439C-BDA1-AC866650347E}" type="parTrans" cxnId="{1A5C29E5-0B3D-496A-BA37-3EE497555743}">
      <dgm:prSet/>
      <dgm:spPr/>
      <dgm:t>
        <a:bodyPr/>
        <a:lstStyle/>
        <a:p>
          <a:endParaRPr lang="pt-BR"/>
        </a:p>
      </dgm:t>
    </dgm:pt>
    <dgm:pt modelId="{EA0AF616-A340-440B-B802-02F18855477B}" type="sibTrans" cxnId="{1A5C29E5-0B3D-496A-BA37-3EE497555743}">
      <dgm:prSet/>
      <dgm:spPr/>
      <dgm:t>
        <a:bodyPr/>
        <a:lstStyle/>
        <a:p>
          <a:endParaRPr lang="pt-BR"/>
        </a:p>
      </dgm:t>
    </dgm:pt>
    <dgm:pt modelId="{BA15DC88-B838-4D5F-9BAB-AEC02AE52521}">
      <dgm:prSet/>
      <dgm:spPr/>
      <dgm:t>
        <a:bodyPr/>
        <a:lstStyle/>
        <a:p>
          <a:r>
            <a:rPr lang="pt-BR"/>
            <a:t>ANÁLISE DE OPORTUNIDADES DE NOVOS SEGMENTOS</a:t>
          </a:r>
        </a:p>
      </dgm:t>
    </dgm:pt>
    <dgm:pt modelId="{D1202378-9FC3-4AC3-BEDF-808E27AD479B}" type="parTrans" cxnId="{F7A145CB-AB41-45AF-8AD4-9A4F753B3ABE}">
      <dgm:prSet/>
      <dgm:spPr/>
      <dgm:t>
        <a:bodyPr/>
        <a:lstStyle/>
        <a:p>
          <a:endParaRPr lang="pt-BR"/>
        </a:p>
      </dgm:t>
    </dgm:pt>
    <dgm:pt modelId="{D7CB81A8-D79B-493F-A54C-A4C32D5B5C19}" type="sibTrans" cxnId="{F7A145CB-AB41-45AF-8AD4-9A4F753B3ABE}">
      <dgm:prSet/>
      <dgm:spPr/>
      <dgm:t>
        <a:bodyPr/>
        <a:lstStyle/>
        <a:p>
          <a:endParaRPr lang="pt-BR"/>
        </a:p>
      </dgm:t>
    </dgm:pt>
    <dgm:pt modelId="{95643014-9364-4ED7-A23C-11FF87634454}">
      <dgm:prSet/>
      <dgm:spPr/>
      <dgm:t>
        <a:bodyPr/>
        <a:lstStyle/>
        <a:p>
          <a:r>
            <a:rPr lang="pt-BR" b="0"/>
            <a:t> DOCUMENTAÇÃO DE REQUISITOS FUNCIONAIS</a:t>
          </a:r>
          <a:endParaRPr lang="pt-BR"/>
        </a:p>
      </dgm:t>
    </dgm:pt>
    <dgm:pt modelId="{E0114C20-3A39-4242-9BD4-7E3A42C0079E}" type="parTrans" cxnId="{56F4D0BE-0ED8-4594-B6D7-DCDE4C6272FE}">
      <dgm:prSet/>
      <dgm:spPr/>
      <dgm:t>
        <a:bodyPr/>
        <a:lstStyle/>
        <a:p>
          <a:endParaRPr lang="pt-BR"/>
        </a:p>
      </dgm:t>
    </dgm:pt>
    <dgm:pt modelId="{17FCF78A-6A89-4118-8006-45387E9866DB}" type="sibTrans" cxnId="{56F4D0BE-0ED8-4594-B6D7-DCDE4C6272FE}">
      <dgm:prSet/>
      <dgm:spPr/>
      <dgm:t>
        <a:bodyPr/>
        <a:lstStyle/>
        <a:p>
          <a:endParaRPr lang="pt-BR"/>
        </a:p>
      </dgm:t>
    </dgm:pt>
    <dgm:pt modelId="{6ED531EE-0BC7-4118-B43F-7D8D436633A8}">
      <dgm:prSet/>
      <dgm:spPr/>
      <dgm:t>
        <a:bodyPr/>
        <a:lstStyle/>
        <a:p>
          <a:r>
            <a:rPr lang="pt-BR"/>
            <a:t>IDENTIFICAÇÃO DE FUNCIONALIDADES E RECURSOS</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FORMAÇÃO DA EQUIPE DE DESIGN E DESENVOLVIMENTO</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DBA8929B-46BA-404E-A3FA-7CF913B88C72}">
      <dgm:prSet/>
      <dgm:spPr/>
      <dgm:t>
        <a:bodyPr/>
        <a:lstStyle/>
        <a:p>
          <a:r>
            <a:rPr lang="pt-BR"/>
            <a:t>CÓDIGO FRONT-END</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CÓDIGO BACK-END</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dgm:spPr/>
      <dgm:t>
        <a:bodyPr/>
        <a:lstStyle/>
        <a:p>
          <a:r>
            <a:rPr lang="pt-BR" u="none"/>
            <a:t>DESENVOLVER PRINCIPAIS MÓDULOS DE IA</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3F45023-E1E3-43C0-B67F-AD1E7AC51078}">
      <dgm:prSet/>
      <dgm:spPr/>
      <dgm:t>
        <a:bodyPr/>
        <a:lstStyle/>
        <a:p>
          <a:r>
            <a:rPr lang="pt-BR"/>
            <a:t>DESENVOLVIMENTO DE FAQ INTERATIVO</a:t>
          </a:r>
        </a:p>
      </dgm:t>
    </dgm:pt>
    <dgm:pt modelId="{E5DFCF2D-8524-4D8E-AB8B-E3229044C96F}" type="parTrans" cxnId="{AD7A2B7E-65A4-458E-9A02-A18E82620DF8}">
      <dgm:prSet/>
      <dgm:spPr/>
      <dgm:t>
        <a:bodyPr/>
        <a:lstStyle/>
        <a:p>
          <a:endParaRPr lang="pt-BR"/>
        </a:p>
      </dgm:t>
    </dgm:pt>
    <dgm:pt modelId="{C9664199-173B-4D48-A43A-0784E524AFD3}" type="sibTrans" cxnId="{AD7A2B7E-65A4-458E-9A02-A18E82620DF8}">
      <dgm:prSet/>
      <dgm:spPr/>
      <dgm:t>
        <a:bodyPr/>
        <a:lstStyle/>
        <a:p>
          <a:endParaRPr lang="pt-BR"/>
        </a:p>
      </dgm:t>
    </dgm:pt>
    <dgm:pt modelId="{971055BB-A4A3-40DF-B506-54605DDFB45E}">
      <dgm:prSet/>
      <dgm:spPr/>
      <dgm:t>
        <a:bodyPr/>
        <a:lstStyle/>
        <a:p>
          <a:r>
            <a:rPr lang="pt-BR"/>
            <a:t>DEFINIÇÃO DAS PERGUNTAS FREQUENTES (FAQ)</a:t>
          </a:r>
        </a:p>
      </dgm:t>
    </dgm:pt>
    <dgm:pt modelId="{C550F39E-3BA4-4EAC-9784-E4F9E4C6F36F}" type="parTrans" cxnId="{5B6CFCF8-25A2-4BDC-9211-21E220344ED1}">
      <dgm:prSet/>
      <dgm:spPr/>
      <dgm:t>
        <a:bodyPr/>
        <a:lstStyle/>
        <a:p>
          <a:endParaRPr lang="pt-BR"/>
        </a:p>
      </dgm:t>
    </dgm:pt>
    <dgm:pt modelId="{5A6147EE-A1A6-4614-9DEB-0D9C46F37CEE}" type="sibTrans" cxnId="{5B6CFCF8-25A2-4BDC-9211-21E220344ED1}">
      <dgm:prSet/>
      <dgm:spPr/>
      <dgm:t>
        <a:bodyPr/>
        <a:lstStyle/>
        <a:p>
          <a:endParaRPr lang="pt-BR"/>
        </a:p>
      </dgm:t>
    </dgm:pt>
    <dgm:pt modelId="{602FD50F-130C-4E3A-A16E-AF79EACA12AD}">
      <dgm:prSet/>
      <dgm:spPr/>
      <dgm:t>
        <a:bodyPr/>
        <a:lstStyle/>
        <a:p>
          <a:r>
            <a:rPr lang="pt-BR"/>
            <a:t>GARANTIR A SEGURANÇA E PRIVACIDADE </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pPr>
            <a:buFont typeface="Arial" panose="020B0604020202020204" pitchFamily="34" charset="0"/>
            <a:buChar char="•"/>
          </a:pPr>
          <a:r>
            <a:rPr lang="pt-BR"/>
            <a:t>SINCRONIZAÇÃO DE DADOS NO BANCO PRINCIPAL</a:t>
          </a: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03DF699C-3176-485E-B584-5BC85EC703ED}">
      <dgm:prSet custT="1"/>
      <dgm:spPr/>
      <dgm:t>
        <a:bodyPr/>
        <a:lstStyle/>
        <a:p>
          <a:r>
            <a:rPr lang="pt-BR" sz="800" b="1"/>
            <a:t>PÓS IMPLANTAÇÃO/</a:t>
          </a:r>
        </a:p>
        <a:p>
          <a:r>
            <a:rPr lang="pt-BR" sz="800" b="1"/>
            <a:t>MANUTENÇÃO</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MONITORAMENTO</a:t>
          </a:r>
          <a:r>
            <a:rPr lang="pt-BR" baseline="0"/>
            <a:t> NAS PRIMEIRAS HORAS DE USO </a:t>
          </a:r>
          <a:endParaRPr lang="pt-B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SUPORTE</a:t>
          </a:r>
          <a:r>
            <a:rPr lang="pt-BR" baseline="0"/>
            <a:t> INICIAL </a:t>
          </a:r>
          <a:endParaRPr lang="pt-B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EC6FE534-DC93-4BE9-B221-533498D9AED2}">
      <dgm:prSet/>
      <dgm:spPr/>
      <dgm:t>
        <a:bodyPr/>
        <a:lstStyle/>
        <a:p>
          <a:r>
            <a:rPr lang="pt-BR"/>
            <a:t>REALIZAÇÃO DE ATUALIZAÇÕES </a:t>
          </a:r>
        </a:p>
      </dgm:t>
    </dgm:pt>
    <dgm:pt modelId="{E1527C33-CFAA-4D8C-96C4-EE6231657CF0}" type="parTrans" cxnId="{FE8D82F4-EC2E-4B25-896E-A6EFC76B2206}">
      <dgm:prSet/>
      <dgm:spPr/>
      <dgm:t>
        <a:bodyPr/>
        <a:lstStyle/>
        <a:p>
          <a:endParaRPr lang="pt-BR"/>
        </a:p>
      </dgm:t>
    </dgm:pt>
    <dgm:pt modelId="{6D81CC16-08CD-4BC5-BB25-D3C60D9BB3C1}" type="sibTrans" cxnId="{FE8D82F4-EC2E-4B25-896E-A6EFC76B2206}">
      <dgm:prSet/>
      <dgm:spPr/>
      <dgm:t>
        <a:bodyPr/>
        <a:lstStyle/>
        <a:p>
          <a:endParaRPr lang="pt-BR"/>
        </a:p>
      </dgm:t>
    </dgm:pt>
    <dgm:pt modelId="{0995A2E3-0901-4DB1-B970-376B2E4006D1}">
      <dgm:prSet/>
      <dgm:spPr/>
      <dgm:t>
        <a:bodyPr/>
        <a:lstStyle/>
        <a:p>
          <a:r>
            <a:rPr lang="pt-BR"/>
            <a:t>SUPORTE E SOLUÇÃO PARA STAKHOLDERS</a:t>
          </a:r>
        </a:p>
      </dgm:t>
    </dgm:pt>
    <dgm:pt modelId="{902A754E-4E4A-4847-B0A2-573B94308BBA}" type="parTrans" cxnId="{A8FF89BC-D15C-44F3-A67F-96B16824950D}">
      <dgm:prSet/>
      <dgm:spPr/>
      <dgm:t>
        <a:bodyPr/>
        <a:lstStyle/>
        <a:p>
          <a:endParaRPr lang="pt-BR"/>
        </a:p>
      </dgm:t>
    </dgm:pt>
    <dgm:pt modelId="{20A0EF64-0AD3-4993-8E6E-5758F9AF64A6}" type="sibTrans" cxnId="{A8FF89BC-D15C-44F3-A67F-96B16824950D}">
      <dgm:prSet/>
      <dgm:spPr/>
      <dgm:t>
        <a:bodyPr/>
        <a:lstStyle/>
        <a:p>
          <a:endParaRPr lang="pt-BR"/>
        </a:p>
      </dgm:t>
    </dgm:pt>
    <dgm:pt modelId="{52322AC1-C0CA-41C2-AF77-D47B568609DC}">
      <dgm:prSet/>
      <dgm:spPr/>
      <dgm:t>
        <a:bodyPr/>
        <a:lstStyle/>
        <a:p>
          <a:r>
            <a:rPr lang="pt-BR"/>
            <a:t>IMPLEMENTAÇÃO DE MELHORIAS CONTÍNUAS </a:t>
          </a:r>
        </a:p>
      </dgm:t>
    </dgm:pt>
    <dgm:pt modelId="{3BEC5FAA-E4C7-4310-8BF8-FD6D6CD14D5D}" type="parTrans" cxnId="{E81CE985-107C-46B1-8E6F-793372A7C67F}">
      <dgm:prSet/>
      <dgm:spPr/>
      <dgm:t>
        <a:bodyPr/>
        <a:lstStyle/>
        <a:p>
          <a:endParaRPr lang="pt-BR"/>
        </a:p>
      </dgm:t>
    </dgm:pt>
    <dgm:pt modelId="{4588D817-B422-419C-9BBD-93DD8ABBE6F3}" type="sibTrans" cxnId="{E81CE985-107C-46B1-8E6F-793372A7C67F}">
      <dgm:prSet/>
      <dgm:spPr/>
      <dgm:t>
        <a:bodyPr/>
        <a:lstStyle/>
        <a:p>
          <a:endParaRPr lang="pt-BR"/>
        </a:p>
      </dgm:t>
    </dgm:pt>
    <dgm:pt modelId="{B0D67059-EF7D-43CE-8506-8E9B5868DB0C}">
      <dgm:prSet/>
      <dgm:spPr/>
      <dgm:t>
        <a:bodyPr/>
        <a:lstStyle/>
        <a:p>
          <a:r>
            <a:rPr lang="pt-BR"/>
            <a:t>ADAPTAÇÃO  AO MERCADO</a:t>
          </a:r>
        </a:p>
      </dgm:t>
    </dgm:pt>
    <dgm:pt modelId="{D010ED04-6422-41B1-9B13-F8A5DEAE4019}" type="parTrans" cxnId="{B6E8350D-073B-4398-AB39-54D9747CCAF2}">
      <dgm:prSet/>
      <dgm:spPr/>
      <dgm:t>
        <a:bodyPr/>
        <a:lstStyle/>
        <a:p>
          <a:endParaRPr lang="pt-BR"/>
        </a:p>
      </dgm:t>
    </dgm:pt>
    <dgm:pt modelId="{EA6F9236-2F0E-4B77-84C3-BC211A6AAA2F}" type="sibTrans" cxnId="{B6E8350D-073B-4398-AB39-54D9747CCAF2}">
      <dgm:prSet/>
      <dgm:spPr/>
      <dgm:t>
        <a:bodyPr/>
        <a:lstStyle/>
        <a:p>
          <a:endParaRPr lang="pt-BR"/>
        </a:p>
      </dgm:t>
    </dgm:pt>
    <dgm:pt modelId="{85451313-C917-4F47-86D0-45E28E549CBF}">
      <dgm:prSet/>
      <dgm:spPr/>
      <dgm:t>
        <a:bodyPr/>
        <a:lstStyle/>
        <a:p>
          <a:r>
            <a:rPr lang="pt-BR"/>
            <a:t>IMPLEMENTAÇÃO DE APP MOBILE </a:t>
          </a:r>
        </a:p>
      </dgm:t>
    </dgm:pt>
    <dgm:pt modelId="{900F9B5B-B201-41E8-9F84-B4A949821D1D}" type="parTrans" cxnId="{C8D70DD5-D354-4E8F-8F36-FBA22A5D2A2C}">
      <dgm:prSet/>
      <dgm:spPr/>
      <dgm:t>
        <a:bodyPr/>
        <a:lstStyle/>
        <a:p>
          <a:endParaRPr lang="pt-BR"/>
        </a:p>
      </dgm:t>
    </dgm:pt>
    <dgm:pt modelId="{C35E62F3-BCD5-4083-A380-44B10F6F2EC2}" type="sibTrans" cxnId="{C8D70DD5-D354-4E8F-8F36-FBA22A5D2A2C}">
      <dgm:prSet/>
      <dgm:spPr/>
      <dgm:t>
        <a:bodyPr/>
        <a:lstStyle/>
        <a:p>
          <a:endParaRPr lang="pt-BR"/>
        </a:p>
      </dgm:t>
    </dgm:pt>
    <dgm:pt modelId="{141B889D-94F1-45C1-B73E-13B1197CCCF8}">
      <dgm:prSet custT="1"/>
      <dgm:spPr/>
      <dgm:t>
        <a:bodyPr/>
        <a:lstStyle/>
        <a:p>
          <a:r>
            <a:rPr lang="pt-BR" sz="600"/>
            <a:t>DESIGN UX</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DEFINIÇÃO DE</a:t>
          </a:r>
          <a:r>
            <a:rPr lang="pt-BR" baseline="0"/>
            <a:t> PERSONAS</a:t>
          </a:r>
          <a:endParaRPr lang="pt-B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a:t>GARANTIR</a:t>
          </a:r>
          <a:r>
            <a:rPr lang="pt-BR" baseline="0"/>
            <a:t> ACESSIBILIDADE E USABILIDADE</a:t>
          </a:r>
          <a:endParaRPr lang="pt-B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dgm:t>
        <a:bodyPr/>
        <a:lstStyle/>
        <a:p>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73371C27-A7CB-4C2B-A967-EAD3B11B162C}">
      <dgm:prSet/>
      <dgm:spPr/>
      <dgm:t>
        <a:bodyPr/>
        <a:lstStyle/>
        <a:p>
          <a:r>
            <a:rPr lang="pt-BR"/>
            <a:t>IDENTIFICAÇÃO DE STAKEHOLDERS</a:t>
          </a:r>
        </a:p>
      </dgm:t>
    </dgm:pt>
    <dgm:pt modelId="{E747D289-1F71-4811-AA7E-4D7C7746AD32}" type="parTrans" cxnId="{E32294D2-C5CE-4B30-997E-D9F11428A692}">
      <dgm:prSet/>
      <dgm:spPr/>
      <dgm:t>
        <a:bodyPr/>
        <a:lstStyle/>
        <a:p>
          <a:endParaRPr lang="pt-BR"/>
        </a:p>
      </dgm:t>
    </dgm:pt>
    <dgm:pt modelId="{EFD8D3D7-81AE-42C8-A6BE-8AA0E87924A8}" type="sibTrans" cxnId="{E32294D2-C5CE-4B30-997E-D9F11428A692}">
      <dgm:prSet/>
      <dgm:spPr/>
      <dgm:t>
        <a:bodyPr/>
        <a:lstStyle/>
        <a:p>
          <a:endParaRPr lang="pt-BR"/>
        </a:p>
      </dgm:t>
    </dgm:pt>
    <dgm:pt modelId="{86AF350A-A785-4BDD-9C13-1E90196942B4}">
      <dgm:prSet/>
      <dgm:spPr/>
      <dgm:t>
        <a:bodyPr/>
        <a:lstStyle/>
        <a:p>
          <a:r>
            <a:rPr lang="pt-BR"/>
            <a:t>LEVANTAMENTO DE REQUISITOS</a:t>
          </a:r>
        </a:p>
      </dgm:t>
    </dgm:pt>
    <dgm:pt modelId="{E2A53098-4FAB-4666-9DF9-9FFC35DA3367}" type="sibTrans" cxnId="{25A7167F-DF6B-457E-B8FE-9C31F86E5923}">
      <dgm:prSet/>
      <dgm:spPr/>
      <dgm:t>
        <a:bodyPr/>
        <a:lstStyle/>
        <a:p>
          <a:endParaRPr lang="pt-BR"/>
        </a:p>
      </dgm:t>
    </dgm:pt>
    <dgm:pt modelId="{B7B3C6AE-DFBB-46A9-8CF1-A1BD803B9409}" type="parTrans" cxnId="{25A7167F-DF6B-457E-B8FE-9C31F86E5923}">
      <dgm:prSet/>
      <dgm:spPr/>
      <dgm:t>
        <a:bodyPr/>
        <a:lstStyle/>
        <a:p>
          <a:endParaRPr lang="pt-BR"/>
        </a:p>
      </dgm:t>
    </dgm:pt>
    <dgm:pt modelId="{1A5678EE-7A74-4A34-A4D6-D8A58BB9F46D}">
      <dgm:prSet/>
      <dgm:spPr/>
      <dgm:t>
        <a:bodyPr/>
        <a:lstStyle/>
        <a:p>
          <a:r>
            <a:rPr lang="pt-BR"/>
            <a:t>DOCUMENTAÇÃO DE REQUISITOS NÃO FUNCIONAIS</a:t>
          </a:r>
        </a:p>
      </dgm:t>
    </dgm:pt>
    <dgm:pt modelId="{9253C293-8A26-4831-8892-0E3BDAEC8E19}" type="parTrans" cxnId="{F52AD278-B384-4C41-A0FA-0D2D6C56CD63}">
      <dgm:prSet/>
      <dgm:spPr/>
      <dgm:t>
        <a:bodyPr/>
        <a:lstStyle/>
        <a:p>
          <a:endParaRPr lang="pt-BR"/>
        </a:p>
      </dgm:t>
    </dgm:pt>
    <dgm:pt modelId="{FA8E55BD-E4A6-42B2-8FA8-BFF24085AE4E}" type="sibTrans" cxnId="{F52AD278-B384-4C41-A0FA-0D2D6C56CD63}">
      <dgm:prSet/>
      <dgm:spPr/>
      <dgm:t>
        <a:bodyPr/>
        <a:lstStyle/>
        <a:p>
          <a:endParaRPr lang="pt-BR"/>
        </a:p>
      </dgm:t>
    </dgm:pt>
    <dgm:pt modelId="{E6A1700A-B079-47D8-9B65-891034C34C7F}">
      <dgm:prSet/>
      <dgm:spPr/>
      <dgm:t>
        <a:bodyPr/>
        <a:lstStyle/>
        <a:p>
          <a:r>
            <a:rPr lang="pt-BR"/>
            <a:t>IDENTIFICAÇÃO DO CAMINHO CRÍTICO</a:t>
          </a:r>
        </a:p>
      </dgm:t>
    </dgm:pt>
    <dgm:pt modelId="{BAEA72A8-8E27-4CB3-95FF-B81D0605EC3A}" type="parTrans" cxnId="{E0A50EF6-42E8-4A80-B1D5-3426ABB5D310}">
      <dgm:prSet/>
      <dgm:spPr/>
      <dgm:t>
        <a:bodyPr/>
        <a:lstStyle/>
        <a:p>
          <a:endParaRPr lang="pt-BR"/>
        </a:p>
      </dgm:t>
    </dgm:pt>
    <dgm:pt modelId="{DB2D9756-9149-4493-AC7D-2FDB3E11C55E}" type="sibTrans" cxnId="{E0A50EF6-42E8-4A80-B1D5-3426ABB5D310}">
      <dgm:prSet/>
      <dgm:spPr/>
      <dgm:t>
        <a:bodyPr/>
        <a:lstStyle/>
        <a:p>
          <a:endParaRPr lang="pt-BR"/>
        </a:p>
      </dgm:t>
    </dgm:pt>
    <dgm:pt modelId="{51C79718-E650-4489-9A19-46CB6F3C5E64}">
      <dgm:prSet/>
      <dgm:spPr/>
      <dgm:t>
        <a:bodyPr/>
        <a:lstStyle/>
        <a:p>
          <a:r>
            <a:rPr lang="pt-BR"/>
            <a:t>PLANEJAMENTO DE SEGURANÇA E LGPD</a:t>
          </a:r>
        </a:p>
      </dgm:t>
    </dgm:pt>
    <dgm:pt modelId="{FBC1385E-8795-41FA-845C-EB5AF43C2B13}" type="parTrans" cxnId="{D2EAB60E-A75A-463D-86AE-3D2657A034C1}">
      <dgm:prSet/>
      <dgm:spPr/>
      <dgm:t>
        <a:bodyPr/>
        <a:lstStyle/>
        <a:p>
          <a:endParaRPr lang="pt-BR"/>
        </a:p>
      </dgm:t>
    </dgm:pt>
    <dgm:pt modelId="{CEDCA9D0-10C4-4CDA-8418-976235E7E3F5}" type="sibTrans" cxnId="{D2EAB60E-A75A-463D-86AE-3D2657A034C1}">
      <dgm:prSet/>
      <dgm:spPr/>
      <dgm:t>
        <a:bodyPr/>
        <a:lstStyle/>
        <a:p>
          <a:endParaRPr lang="pt-BR"/>
        </a:p>
      </dgm:t>
    </dgm:pt>
    <dgm:pt modelId="{E62468E0-1FF4-4D1D-A9CA-0D68F9B02BD3}">
      <dgm:prSet/>
      <dgm:spPr/>
      <dgm:t>
        <a:bodyPr/>
        <a:lstStyle/>
        <a:p>
          <a:r>
            <a:rPr lang="pt-BR"/>
            <a:t>DEFINIÇÃO DE PROTOCOLOS DE PRIVACIDADE</a:t>
          </a:r>
        </a:p>
      </dgm:t>
    </dgm:pt>
    <dgm:pt modelId="{FA73775F-96E3-4384-A1BB-0DDD667E453A}" type="parTrans" cxnId="{398CF318-7355-492C-86FB-8BCAB6123E7B}">
      <dgm:prSet/>
      <dgm:spPr/>
      <dgm:t>
        <a:bodyPr/>
        <a:lstStyle/>
        <a:p>
          <a:endParaRPr lang="pt-BR"/>
        </a:p>
      </dgm:t>
    </dgm:pt>
    <dgm:pt modelId="{2EF6EA22-51EF-4446-8CA1-FFAD271F2CEC}" type="sibTrans" cxnId="{398CF318-7355-492C-86FB-8BCAB6123E7B}">
      <dgm:prSet/>
      <dgm:spPr/>
      <dgm:t>
        <a:bodyPr/>
        <a:lstStyle/>
        <a:p>
          <a:endParaRPr lang="pt-BR"/>
        </a:p>
      </dgm:t>
    </dgm:pt>
    <dgm:pt modelId="{9DD1E46F-B70E-477E-9BFB-696199DB6F2F}">
      <dgm:prSet/>
      <dgm:spPr/>
      <dgm:t>
        <a:bodyPr/>
        <a:lstStyle/>
        <a:p>
          <a:r>
            <a:rPr lang="pt-BR"/>
            <a:t>MAPEAR JORNADA DO USUÁRIO</a:t>
          </a:r>
        </a:p>
      </dgm:t>
    </dgm:pt>
    <dgm:pt modelId="{8CED2796-06CC-4879-8898-DC3B6031BADC}" type="parTrans" cxnId="{04C8AC0C-C604-448D-8C37-DCA569B27FCF}">
      <dgm:prSet/>
      <dgm:spPr/>
      <dgm:t>
        <a:bodyPr/>
        <a:lstStyle/>
        <a:p>
          <a:endParaRPr lang="pt-BR"/>
        </a:p>
      </dgm:t>
    </dgm:pt>
    <dgm:pt modelId="{621CD5B3-F25B-454C-87AD-44221EE70882}" type="sibTrans" cxnId="{04C8AC0C-C604-448D-8C37-DCA569B27FCF}">
      <dgm:prSet/>
      <dgm:spPr/>
      <dgm:t>
        <a:bodyPr/>
        <a:lstStyle/>
        <a:p>
          <a:endParaRPr lang="pt-BR"/>
        </a:p>
      </dgm:t>
    </dgm:pt>
    <dgm:pt modelId="{73F14857-60B0-4E0A-A5A6-05DD1561DBD7}">
      <dgm:prSet/>
      <dgm:spPr/>
      <dgm:t>
        <a:bodyPr/>
        <a:lstStyle/>
        <a:p>
          <a:r>
            <a:rPr lang="pt-BR"/>
            <a:t>VALIDAÇÃO</a:t>
          </a:r>
          <a:r>
            <a:rPr lang="pt-BR" baseline="0"/>
            <a:t> INICIAL COM STAKEHOLDERS</a:t>
          </a:r>
          <a:endParaRPr lang="pt-BR"/>
        </a:p>
      </dgm:t>
    </dgm:pt>
    <dgm:pt modelId="{CF53B9B7-FAB3-48F2-A65F-2D9954BDE9C7}" type="parTrans" cxnId="{7F3EC632-50CA-43B2-8C58-82F39E683FA9}">
      <dgm:prSet/>
      <dgm:spPr/>
      <dgm:t>
        <a:bodyPr/>
        <a:lstStyle/>
        <a:p>
          <a:endParaRPr lang="pt-BR"/>
        </a:p>
      </dgm:t>
    </dgm:pt>
    <dgm:pt modelId="{42A15740-E8E4-4175-9875-94E04FB6F48B}" type="sibTrans" cxnId="{7F3EC632-50CA-43B2-8C58-82F39E683FA9}">
      <dgm:prSet/>
      <dgm:spPr/>
      <dgm:t>
        <a:bodyPr/>
        <a:lstStyle/>
        <a:p>
          <a:endParaRPr lang="pt-BR"/>
        </a:p>
      </dgm:t>
    </dgm:pt>
    <dgm:pt modelId="{E2EC6A85-58E6-4744-B75D-3324C60D8EE8}">
      <dgm:prSet/>
      <dgm:spPr/>
      <dgm:t>
        <a:bodyPr/>
        <a:lstStyle/>
        <a:p>
          <a:r>
            <a:rPr lang="pt-BR"/>
            <a:t>DEFINIR</a:t>
          </a:r>
          <a:r>
            <a:rPr lang="pt-BR" baseline="0"/>
            <a:t> PALETA DE CORES E TIPOGRAFIA</a:t>
          </a:r>
          <a:endParaRPr lang="pt-BR"/>
        </a:p>
      </dgm:t>
    </dgm:pt>
    <dgm:pt modelId="{10EFCF7D-53F5-4063-BC87-A0BF36C60784}" type="sibTrans" cxnId="{DE9C8239-0598-4C48-90A2-01751F1B2D4D}">
      <dgm:prSet/>
      <dgm:spPr/>
      <dgm:t>
        <a:bodyPr/>
        <a:lstStyle/>
        <a:p>
          <a:endParaRPr lang="pt-BR"/>
        </a:p>
      </dgm:t>
    </dgm:pt>
    <dgm:pt modelId="{B3501234-EF80-4869-A279-C89BC86861D2}" type="parTrans" cxnId="{DE9C8239-0598-4C48-90A2-01751F1B2D4D}">
      <dgm:prSet/>
      <dgm:spPr/>
      <dgm:t>
        <a:bodyPr/>
        <a:lstStyle/>
        <a:p>
          <a:endParaRPr lang="pt-BR"/>
        </a:p>
      </dgm:t>
    </dgm:pt>
    <dgm:pt modelId="{C5CC5A86-BAF4-4043-A05F-3690D26C1FF0}">
      <dgm:prSet/>
      <dgm:spPr/>
      <dgm:t>
        <a:bodyPr/>
        <a:lstStyle/>
        <a:p>
          <a:r>
            <a:rPr lang="pt-BR"/>
            <a:t>CRIAÇÃO DE PROTÓTIPO INTERATIVO</a:t>
          </a:r>
        </a:p>
      </dgm:t>
    </dgm:pt>
    <dgm:pt modelId="{38E2739B-73BB-4928-87AA-26706E9E2406}" type="parTrans" cxnId="{A1DE277C-289C-4EE0-A40F-3A91E3251A36}">
      <dgm:prSet/>
      <dgm:spPr/>
      <dgm:t>
        <a:bodyPr/>
        <a:lstStyle/>
        <a:p>
          <a:endParaRPr lang="pt-BR"/>
        </a:p>
      </dgm:t>
    </dgm:pt>
    <dgm:pt modelId="{DBCACF38-0C58-44E0-A045-7184286A555C}" type="sibTrans" cxnId="{A1DE277C-289C-4EE0-A40F-3A91E3251A36}">
      <dgm:prSet/>
      <dgm:spPr/>
      <dgm:t>
        <a:bodyPr/>
        <a:lstStyle/>
        <a:p>
          <a:endParaRPr lang="pt-BR"/>
        </a:p>
      </dgm:t>
    </dgm:pt>
    <dgm:pt modelId="{69233474-9CCA-431F-ADB6-8A9AC33B9697}">
      <dgm:prSet/>
      <dgm:spPr/>
      <dgm:t>
        <a:bodyPr/>
        <a:lstStyle/>
        <a:p>
          <a:r>
            <a:rPr lang="pt-BR"/>
            <a:t>CRIAR ÍCONES E ELEMENTOS VISUAIS</a:t>
          </a:r>
        </a:p>
      </dgm:t>
    </dgm:pt>
    <dgm:pt modelId="{FEF84970-9F64-4C23-B93E-C7AB8DAB57E9}" type="sibTrans" cxnId="{F1E5D1E5-1268-475D-944D-33E806414ACD}">
      <dgm:prSet/>
      <dgm:spPr/>
      <dgm:t>
        <a:bodyPr/>
        <a:lstStyle/>
        <a:p>
          <a:endParaRPr lang="pt-BR"/>
        </a:p>
      </dgm:t>
    </dgm:pt>
    <dgm:pt modelId="{622DEC80-7D3B-489F-A688-386A3BD66E46}" type="parTrans" cxnId="{F1E5D1E5-1268-475D-944D-33E806414ACD}">
      <dgm:prSet/>
      <dgm:spPr/>
      <dgm:t>
        <a:bodyPr/>
        <a:lstStyle/>
        <a:p>
          <a:endParaRPr lang="pt-BR"/>
        </a:p>
      </dgm:t>
    </dgm:pt>
    <dgm:pt modelId="{BC5B252E-CFEA-432E-A23C-820CF26C7CFC}">
      <dgm:prSet/>
      <dgm:spPr/>
      <dgm:t>
        <a:bodyPr/>
        <a:lstStyle/>
        <a:p>
          <a:r>
            <a:rPr lang="pt-BR"/>
            <a:t>GARANTIR CONSISTÊNCIA VISUAL</a:t>
          </a:r>
        </a:p>
      </dgm:t>
    </dgm:pt>
    <dgm:pt modelId="{3C043A11-34D8-4CB9-ACC4-387E6291DDD5}" type="sibTrans" cxnId="{08448042-9ECE-4B88-97E7-D4485AC62D89}">
      <dgm:prSet/>
      <dgm:spPr/>
      <dgm:t>
        <a:bodyPr/>
        <a:lstStyle/>
        <a:p>
          <a:endParaRPr lang="pt-BR"/>
        </a:p>
      </dgm:t>
    </dgm:pt>
    <dgm:pt modelId="{90C11742-7AB7-4673-9EB2-8F639E1AB031}" type="parTrans" cxnId="{08448042-9ECE-4B88-97E7-D4485AC62D89}">
      <dgm:prSet/>
      <dgm:spPr/>
      <dgm:t>
        <a:bodyPr/>
        <a:lstStyle/>
        <a:p>
          <a:endParaRPr lang="pt-BR"/>
        </a:p>
      </dgm:t>
    </dgm:pt>
    <dgm:pt modelId="{C5F5B592-B7BB-47AA-9A5B-E0F4DC1378F7}">
      <dgm:prSet/>
      <dgm:spPr/>
      <dgm:t>
        <a:bodyPr/>
        <a:lstStyle/>
        <a:p>
          <a:r>
            <a:rPr lang="pt-BR"/>
            <a:t>PREPARAÇÃO DO AMBIENTE</a:t>
          </a:r>
        </a:p>
      </dgm:t>
    </dgm:pt>
    <dgm:pt modelId="{C45B11D6-E688-469D-B37A-64BDB4F13BD1}" type="parTrans" cxnId="{3156A055-E282-4BB6-A461-AA7469CF6DD2}">
      <dgm:prSet/>
      <dgm:spPr/>
      <dgm:t>
        <a:bodyPr/>
        <a:lstStyle/>
        <a:p>
          <a:endParaRPr lang="pt-BR"/>
        </a:p>
      </dgm:t>
    </dgm:pt>
    <dgm:pt modelId="{AFD1742D-1041-4A9B-BF89-01FD0FC0FF1E}" type="sibTrans" cxnId="{3156A055-E282-4BB6-A461-AA7469CF6DD2}">
      <dgm:prSet/>
      <dgm:spPr/>
      <dgm:t>
        <a:bodyPr/>
        <a:lstStyle/>
        <a:p>
          <a:endParaRPr lang="pt-BR"/>
        </a:p>
      </dgm:t>
    </dgm:pt>
    <dgm:pt modelId="{1607AB97-F439-47C3-85E1-9BFBA0C3E601}">
      <dgm:prSet/>
      <dgm:spPr/>
      <dgm:t>
        <a:bodyPr/>
        <a:lstStyle/>
        <a:p>
          <a:r>
            <a:rPr lang="pt-BR"/>
            <a:t>CONFIGURAÇÃO DE REPOSITÓRIO GITHUB</a:t>
          </a:r>
        </a:p>
      </dgm:t>
    </dgm:pt>
    <dgm:pt modelId="{CA35F8CA-1E63-4903-842A-98290E900C11}" type="parTrans" cxnId="{0A638183-8299-4CDE-BC82-3A0C2330690A}">
      <dgm:prSet/>
      <dgm:spPr/>
      <dgm:t>
        <a:bodyPr/>
        <a:lstStyle/>
        <a:p>
          <a:endParaRPr lang="pt-BR"/>
        </a:p>
      </dgm:t>
    </dgm:pt>
    <dgm:pt modelId="{2AEF5ABC-50E3-47AD-AD87-476B2812F597}" type="sibTrans" cxnId="{0A638183-8299-4CDE-BC82-3A0C2330690A}">
      <dgm:prSet/>
      <dgm:spPr/>
      <dgm:t>
        <a:bodyPr/>
        <a:lstStyle/>
        <a:p>
          <a:endParaRPr lang="pt-BR"/>
        </a:p>
      </dgm:t>
    </dgm:pt>
    <dgm:pt modelId="{EF012DE2-96D0-481A-B482-7A801C17E020}">
      <dgm:prSet/>
      <dgm:spPr/>
      <dgm:t>
        <a:bodyPr/>
        <a:lstStyle/>
        <a:p>
          <a:r>
            <a:rPr lang="pt-BR"/>
            <a:t>DEFINIÇÃO DO AMBIENTE DE HOSPEDAGEM</a:t>
          </a:r>
        </a:p>
      </dgm:t>
    </dgm:pt>
    <dgm:pt modelId="{F244B438-471F-46F3-AD68-B67A481F07F8}" type="parTrans" cxnId="{DB1D00E8-CDD9-494C-9C3E-17C63D2F7EDB}">
      <dgm:prSet/>
      <dgm:spPr/>
      <dgm:t>
        <a:bodyPr/>
        <a:lstStyle/>
        <a:p>
          <a:endParaRPr lang="pt-BR"/>
        </a:p>
      </dgm:t>
    </dgm:pt>
    <dgm:pt modelId="{D6A80CFE-2F4E-4920-B2AE-B529E8036194}" type="sibTrans" cxnId="{DB1D00E8-CDD9-494C-9C3E-17C63D2F7EDB}">
      <dgm:prSet/>
      <dgm:spPr/>
      <dgm:t>
        <a:bodyPr/>
        <a:lstStyle/>
        <a:p>
          <a:endParaRPr lang="pt-BR"/>
        </a:p>
      </dgm:t>
    </dgm:pt>
    <dgm:pt modelId="{E1678971-1CE4-4063-A069-A2C3E245353E}">
      <dgm:prSet/>
      <dgm:spPr/>
      <dgm:t>
        <a:bodyPr/>
        <a:lstStyle/>
        <a:p>
          <a:r>
            <a:rPr lang="pt-BR"/>
            <a:t>INSTALAÇÃO DO ETL E BI</a:t>
          </a:r>
        </a:p>
      </dgm:t>
    </dgm:pt>
    <dgm:pt modelId="{C8736BC6-75C5-4FC4-BCAC-571B8AEC5E12}" type="parTrans" cxnId="{F4C496B8-A793-4167-BFEF-329B37C98BCF}">
      <dgm:prSet/>
      <dgm:spPr/>
      <dgm:t>
        <a:bodyPr/>
        <a:lstStyle/>
        <a:p>
          <a:endParaRPr lang="pt-BR"/>
        </a:p>
      </dgm:t>
    </dgm:pt>
    <dgm:pt modelId="{F071E797-B68E-4FA1-8520-1970D570F050}" type="sibTrans" cxnId="{F4C496B8-A793-4167-BFEF-329B37C98BCF}">
      <dgm:prSet/>
      <dgm:spPr/>
      <dgm:t>
        <a:bodyPr/>
        <a:lstStyle/>
        <a:p>
          <a:endParaRPr lang="pt-BR"/>
        </a:p>
      </dgm:t>
    </dgm:pt>
    <dgm:pt modelId="{D78F8BA5-129B-4522-9EA8-77CF146B46A3}">
      <dgm:prSet/>
      <dgm:spPr/>
      <dgm:t>
        <a:bodyPr/>
        <a:lstStyle/>
        <a:p>
          <a:r>
            <a:rPr lang="pt-BR"/>
            <a:t>ESTRUTURAÇÃO DO BANCO DE DADOS</a:t>
          </a:r>
        </a:p>
      </dgm:t>
    </dgm:pt>
    <dgm:pt modelId="{C00698EA-AC61-4C5F-8776-C76E99D167F9}" type="parTrans" cxnId="{C07EC530-48DC-4843-96D7-BBAE5D20449B}">
      <dgm:prSet/>
      <dgm:spPr/>
      <dgm:t>
        <a:bodyPr/>
        <a:lstStyle/>
        <a:p>
          <a:endParaRPr lang="pt-BR"/>
        </a:p>
      </dgm:t>
    </dgm:pt>
    <dgm:pt modelId="{58991601-4DFC-431B-A902-3F6A7AA6F532}" type="sibTrans" cxnId="{C07EC530-48DC-4843-96D7-BBAE5D20449B}">
      <dgm:prSet/>
      <dgm:spPr/>
      <dgm:t>
        <a:bodyPr/>
        <a:lstStyle/>
        <a:p>
          <a:endParaRPr lang="pt-BR"/>
        </a:p>
      </dgm:t>
    </dgm:pt>
    <dgm:pt modelId="{0967B97A-9CE9-40F1-BF1A-2DFA48C2D7E5}">
      <dgm:prSet/>
      <dgm:spPr/>
      <dgm:t>
        <a:bodyPr/>
        <a:lstStyle/>
        <a:p>
          <a:r>
            <a:rPr lang="pt-BR"/>
            <a:t>IMPLEMENTAÇÃO DO PROCESSO ETL</a:t>
          </a:r>
        </a:p>
      </dgm:t>
    </dgm:pt>
    <dgm:pt modelId="{157E55D2-C3AB-4674-8931-4306188B0EC5}" type="parTrans" cxnId="{2E3D6EEE-AFAB-4C6C-AED0-140B23D3BCFE}">
      <dgm:prSet/>
      <dgm:spPr/>
      <dgm:t>
        <a:bodyPr/>
        <a:lstStyle/>
        <a:p>
          <a:endParaRPr lang="pt-BR"/>
        </a:p>
      </dgm:t>
    </dgm:pt>
    <dgm:pt modelId="{40ABED45-75DD-4A3A-B80A-5319BF47DA16}" type="sibTrans" cxnId="{2E3D6EEE-AFAB-4C6C-AED0-140B23D3BCFE}">
      <dgm:prSet/>
      <dgm:spPr/>
      <dgm:t>
        <a:bodyPr/>
        <a:lstStyle/>
        <a:p>
          <a:endParaRPr lang="pt-BR"/>
        </a:p>
      </dgm:t>
    </dgm:pt>
    <dgm:pt modelId="{1E766082-A467-492E-B298-169535B5EB3A}">
      <dgm:prSet/>
      <dgm:spPr/>
      <dgm:t>
        <a:bodyPr/>
        <a:lstStyle/>
        <a:p>
          <a:r>
            <a:rPr lang="pt-BR"/>
            <a:t>EXTRAÇÃO DE DADOS</a:t>
          </a:r>
        </a:p>
      </dgm:t>
    </dgm:pt>
    <dgm:pt modelId="{6461F17E-7831-494C-9098-041A0F5DDE37}" type="parTrans" cxnId="{2BBB8456-D418-4CF9-BBAC-CF372D764804}">
      <dgm:prSet/>
      <dgm:spPr/>
      <dgm:t>
        <a:bodyPr/>
        <a:lstStyle/>
        <a:p>
          <a:endParaRPr lang="pt-BR"/>
        </a:p>
      </dgm:t>
    </dgm:pt>
    <dgm:pt modelId="{04239489-ACF3-410A-A0B0-06FB7CDB6643}" type="sibTrans" cxnId="{2BBB8456-D418-4CF9-BBAC-CF372D764804}">
      <dgm:prSet/>
      <dgm:spPr/>
      <dgm:t>
        <a:bodyPr/>
        <a:lstStyle/>
        <a:p>
          <a:endParaRPr lang="pt-BR"/>
        </a:p>
      </dgm:t>
    </dgm:pt>
    <dgm:pt modelId="{4CA2F327-3870-47D4-9CA2-47F6BD7B246E}">
      <dgm:prSet/>
      <dgm:spPr/>
      <dgm:t>
        <a:bodyPr/>
        <a:lstStyle/>
        <a:p>
          <a:r>
            <a:rPr lang="pt-BR"/>
            <a:t>TRANSFORMAÇÃO E LIMPEZA DOS DADOS</a:t>
          </a:r>
        </a:p>
      </dgm:t>
    </dgm:pt>
    <dgm:pt modelId="{4C48EC1D-D408-4EDF-A291-3EFF51AC875B}" type="parTrans" cxnId="{4EAD2B10-4373-4C0C-A764-3743523FCA32}">
      <dgm:prSet/>
      <dgm:spPr/>
      <dgm:t>
        <a:bodyPr/>
        <a:lstStyle/>
        <a:p>
          <a:endParaRPr lang="pt-BR"/>
        </a:p>
      </dgm:t>
    </dgm:pt>
    <dgm:pt modelId="{8962F974-D458-4A1A-8166-71F8EEC350FD}" type="sibTrans" cxnId="{4EAD2B10-4373-4C0C-A764-3743523FCA32}">
      <dgm:prSet/>
      <dgm:spPr/>
      <dgm:t>
        <a:bodyPr/>
        <a:lstStyle/>
        <a:p>
          <a:endParaRPr lang="pt-BR"/>
        </a:p>
      </dgm:t>
    </dgm:pt>
    <dgm:pt modelId="{474A4018-4DD1-417F-A91F-005BA3B38AD9}">
      <dgm:prSet/>
      <dgm:spPr/>
      <dgm:t>
        <a:bodyPr/>
        <a:lstStyle/>
        <a:p>
          <a:r>
            <a:rPr lang="pt-BR"/>
            <a:t>CRIAÇÃO DE APIs PARA INTEGRAÇÃO FRONT-END</a:t>
          </a:r>
        </a:p>
      </dgm:t>
    </dgm:pt>
    <dgm:pt modelId="{CA8B7563-E70A-42E2-9FC1-40504F35B43D}" type="parTrans" cxnId="{90065BFE-D1B6-40C4-AE8E-F50717A2BB56}">
      <dgm:prSet/>
      <dgm:spPr/>
      <dgm:t>
        <a:bodyPr/>
        <a:lstStyle/>
        <a:p>
          <a:endParaRPr lang="pt-BR"/>
        </a:p>
      </dgm:t>
    </dgm:pt>
    <dgm:pt modelId="{93CF6FA9-30DC-476E-B309-279ACA523ABD}" type="sibTrans" cxnId="{90065BFE-D1B6-40C4-AE8E-F50717A2BB56}">
      <dgm:prSet/>
      <dgm:spPr/>
      <dgm:t>
        <a:bodyPr/>
        <a:lstStyle/>
        <a:p>
          <a:endParaRPr lang="pt-BR"/>
        </a:p>
      </dgm:t>
    </dgm:pt>
    <dgm:pt modelId="{29E91A9B-99B2-4AFC-BEF7-B75E1714C2B9}">
      <dgm:prSet/>
      <dgm:spPr/>
      <dgm:t>
        <a:bodyPr/>
        <a:lstStyle/>
        <a:p>
          <a:r>
            <a:rPr lang="pt-BR"/>
            <a:t>IMPLEMENTAÇÃO DE AUTENTICAÇÃO DE PERFIS DE ACESSO </a:t>
          </a:r>
        </a:p>
      </dgm:t>
    </dgm:pt>
    <dgm:pt modelId="{B5C51296-D9DC-41E3-8C72-66DFE85CD098}" type="parTrans" cxnId="{6A6DBD6B-6252-4602-8829-80C880F19F87}">
      <dgm:prSet/>
      <dgm:spPr/>
      <dgm:t>
        <a:bodyPr/>
        <a:lstStyle/>
        <a:p>
          <a:endParaRPr lang="pt-BR"/>
        </a:p>
      </dgm:t>
    </dgm:pt>
    <dgm:pt modelId="{F567C1AA-2272-49AC-B418-AE9131F21689}" type="sibTrans" cxnId="{6A6DBD6B-6252-4602-8829-80C880F19F87}">
      <dgm:prSet/>
      <dgm:spPr/>
      <dgm:t>
        <a:bodyPr/>
        <a:lstStyle/>
        <a:p>
          <a:endParaRPr lang="pt-BR"/>
        </a:p>
      </dgm:t>
    </dgm:pt>
    <dgm:pt modelId="{0BE60257-9C66-40C0-84CD-AFEBF2C7CB42}">
      <dgm:prSet/>
      <dgm:spPr/>
      <dgm:t>
        <a:bodyPr/>
        <a:lstStyle/>
        <a:p>
          <a:r>
            <a:rPr lang="pt-BR"/>
            <a:t>ESTRUTURAÇÃO INICIAL DE INTERFACE</a:t>
          </a:r>
        </a:p>
      </dgm:t>
    </dgm:pt>
    <dgm:pt modelId="{A0B83806-C4D6-4BA9-80A3-2DDA75DFD0F0}" type="parTrans" cxnId="{2634C9F9-5AC6-4590-BAA9-4B2C43AB2576}">
      <dgm:prSet/>
      <dgm:spPr/>
      <dgm:t>
        <a:bodyPr/>
        <a:lstStyle/>
        <a:p>
          <a:endParaRPr lang="pt-BR"/>
        </a:p>
      </dgm:t>
    </dgm:pt>
    <dgm:pt modelId="{2A0E0166-FFA7-407A-9130-91794DAB2F54}" type="sibTrans" cxnId="{2634C9F9-5AC6-4590-BAA9-4B2C43AB2576}">
      <dgm:prSet/>
      <dgm:spPr/>
      <dgm:t>
        <a:bodyPr/>
        <a:lstStyle/>
        <a:p>
          <a:endParaRPr lang="pt-BR"/>
        </a:p>
      </dgm:t>
    </dgm:pt>
    <dgm:pt modelId="{32AAD461-4101-4CCE-B5F1-1DF7786297AA}">
      <dgm:prSet/>
      <dgm:spPr/>
      <dgm:t>
        <a:bodyPr/>
        <a:lstStyle/>
        <a:p>
          <a:r>
            <a:rPr lang="pt-BR"/>
            <a:t>IMPLEMENTAÇÃO DE KPIs PRINCIPAIS</a:t>
          </a:r>
        </a:p>
      </dgm:t>
    </dgm:pt>
    <dgm:pt modelId="{1E24733A-326F-47E5-A424-6C2AAFD45BB8}" type="parTrans" cxnId="{3AC19460-936F-4209-8515-7962D741C18B}">
      <dgm:prSet/>
      <dgm:spPr/>
      <dgm:t>
        <a:bodyPr/>
        <a:lstStyle/>
        <a:p>
          <a:endParaRPr lang="pt-BR"/>
        </a:p>
      </dgm:t>
    </dgm:pt>
    <dgm:pt modelId="{858E38EC-FC02-449B-AC4D-920F44E8CB08}" type="sibTrans" cxnId="{3AC19460-936F-4209-8515-7962D741C18B}">
      <dgm:prSet/>
      <dgm:spPr/>
      <dgm:t>
        <a:bodyPr/>
        <a:lstStyle/>
        <a:p>
          <a:endParaRPr lang="pt-BR"/>
        </a:p>
      </dgm:t>
    </dgm:pt>
    <dgm:pt modelId="{04DC9C24-5C23-4AB5-9DB9-94BB85E98A7C}">
      <dgm:prSet/>
      <dgm:spPr/>
      <dgm:t>
        <a:bodyPr/>
        <a:lstStyle/>
        <a:p>
          <a:r>
            <a:rPr lang="pt-BR"/>
            <a:t>CRIAÇÃO DE GRÁFICOS INTERATIVOS</a:t>
          </a:r>
        </a:p>
      </dgm:t>
    </dgm:pt>
    <dgm:pt modelId="{8B5D55A5-366A-4826-9AF4-7B41BA2748AB}" type="parTrans" cxnId="{4A7C4844-AC27-4F1B-85EA-8DD21F1BE979}">
      <dgm:prSet/>
      <dgm:spPr/>
      <dgm:t>
        <a:bodyPr/>
        <a:lstStyle/>
        <a:p>
          <a:endParaRPr lang="pt-BR"/>
        </a:p>
      </dgm:t>
    </dgm:pt>
    <dgm:pt modelId="{4884A378-FB79-46C6-9906-803738CF28CB}" type="sibTrans" cxnId="{4A7C4844-AC27-4F1B-85EA-8DD21F1BE979}">
      <dgm:prSet/>
      <dgm:spPr/>
      <dgm:t>
        <a:bodyPr/>
        <a:lstStyle/>
        <a:p>
          <a:endParaRPr lang="pt-BR"/>
        </a:p>
      </dgm:t>
    </dgm:pt>
    <dgm:pt modelId="{EC169E66-03F5-48A6-B577-578CD2F1BBCD}">
      <dgm:prSet/>
      <dgm:spPr/>
      <dgm:t>
        <a:bodyPr/>
        <a:lstStyle/>
        <a:p>
          <a:r>
            <a:rPr lang="pt-BR"/>
            <a:t>DESENVOLVIMENTO DE FILTROS DINÂMICOS</a:t>
          </a:r>
        </a:p>
      </dgm:t>
    </dgm:pt>
    <dgm:pt modelId="{4EFFC1A5-282F-4F34-864A-ACD659EC7C81}" type="parTrans" cxnId="{05224EC8-8F2D-49C9-8EC1-16639B495DC5}">
      <dgm:prSet/>
      <dgm:spPr/>
      <dgm:t>
        <a:bodyPr/>
        <a:lstStyle/>
        <a:p>
          <a:endParaRPr lang="pt-BR"/>
        </a:p>
      </dgm:t>
    </dgm:pt>
    <dgm:pt modelId="{75C2EC2E-30BC-4A9D-923F-A1ADAE7F80FF}" type="sibTrans" cxnId="{05224EC8-8F2D-49C9-8EC1-16639B495DC5}">
      <dgm:prSet/>
      <dgm:spPr/>
      <dgm:t>
        <a:bodyPr/>
        <a:lstStyle/>
        <a:p>
          <a:endParaRPr lang="pt-BR"/>
        </a:p>
      </dgm:t>
    </dgm:pt>
    <dgm:pt modelId="{BAA29A34-4B81-44E4-A28C-5904A91B195E}">
      <dgm:prSet/>
      <dgm:spPr/>
      <dgm:t>
        <a:bodyPr/>
        <a:lstStyle/>
        <a:p>
          <a:r>
            <a:rPr lang="pt-BR"/>
            <a:t>EXPORTAÇÃO DE RELATÓRIOS</a:t>
          </a:r>
        </a:p>
      </dgm:t>
    </dgm:pt>
    <dgm:pt modelId="{AEE5868F-C0DE-4C6A-A255-A6B16719D8D2}" type="parTrans" cxnId="{8B1E1B18-2831-486E-8C4F-17146895F395}">
      <dgm:prSet/>
      <dgm:spPr/>
      <dgm:t>
        <a:bodyPr/>
        <a:lstStyle/>
        <a:p>
          <a:endParaRPr lang="pt-BR"/>
        </a:p>
      </dgm:t>
    </dgm:pt>
    <dgm:pt modelId="{03DED89A-EFDD-4140-8AFC-55BB1DCC9F2E}" type="sibTrans" cxnId="{8B1E1B18-2831-486E-8C4F-17146895F395}">
      <dgm:prSet/>
      <dgm:spPr/>
      <dgm:t>
        <a:bodyPr/>
        <a:lstStyle/>
        <a:p>
          <a:endParaRPr lang="pt-BR"/>
        </a:p>
      </dgm:t>
    </dgm:pt>
    <dgm:pt modelId="{0ACA9C09-8F23-45A6-9B79-124796FD3FA6}">
      <dgm:prSet/>
      <dgm:spPr/>
      <dgm:t>
        <a:bodyPr/>
        <a:lstStyle/>
        <a:p>
          <a:r>
            <a:rPr lang="pt-BR"/>
            <a:t>TREINAMENTO DO CHATBOT COM AS RESPOSTAS</a:t>
          </a:r>
        </a:p>
      </dgm:t>
    </dgm:pt>
    <dgm:pt modelId="{534403A8-78E2-443C-BCD5-995FD0C69E07}" type="parTrans" cxnId="{F511BDD8-5FF9-44DB-8554-B9CEA892CCDE}">
      <dgm:prSet/>
      <dgm:spPr/>
      <dgm:t>
        <a:bodyPr/>
        <a:lstStyle/>
        <a:p>
          <a:endParaRPr lang="pt-BR"/>
        </a:p>
      </dgm:t>
    </dgm:pt>
    <dgm:pt modelId="{BEA1363A-F311-4299-912C-BC12317B325D}" type="sibTrans" cxnId="{F511BDD8-5FF9-44DB-8554-B9CEA892CCDE}">
      <dgm:prSet/>
      <dgm:spPr/>
      <dgm:t>
        <a:bodyPr/>
        <a:lstStyle/>
        <a:p>
          <a:endParaRPr lang="pt-BR"/>
        </a:p>
      </dgm:t>
    </dgm:pt>
    <dgm:pt modelId="{9BA5D052-04F8-4177-9923-A4FEA4524647}">
      <dgm:prSet/>
      <dgm:spPr/>
      <dgm:t>
        <a:bodyPr/>
        <a:lstStyle/>
        <a:p>
          <a:r>
            <a:rPr lang="pt-BR"/>
            <a:t>INTEGRAÇÃO AO DASHBOARD (WEB OU APP)</a:t>
          </a:r>
        </a:p>
      </dgm:t>
    </dgm:pt>
    <dgm:pt modelId="{2E6699B4-D7C0-4907-BDBD-3AF139CF76BA}" type="parTrans" cxnId="{180B200E-0ED5-4886-B576-9D45BA684EEA}">
      <dgm:prSet/>
      <dgm:spPr/>
      <dgm:t>
        <a:bodyPr/>
        <a:lstStyle/>
        <a:p>
          <a:endParaRPr lang="pt-BR"/>
        </a:p>
      </dgm:t>
    </dgm:pt>
    <dgm:pt modelId="{00FBEDD6-079A-4FFD-8DA8-DB731688F603}" type="sibTrans" cxnId="{180B200E-0ED5-4886-B576-9D45BA684EEA}">
      <dgm:prSet/>
      <dgm:spPr/>
      <dgm:t>
        <a:bodyPr/>
        <a:lstStyle/>
        <a:p>
          <a:endParaRPr lang="pt-BR"/>
        </a:p>
      </dgm:t>
    </dgm:pt>
    <dgm:pt modelId="{395B0B9C-8BE5-4D37-98FF-538F94774664}">
      <dgm:prSet/>
      <dgm:spPr/>
      <dgm:t>
        <a:bodyPr/>
        <a:lstStyle/>
        <a:p>
          <a:pPr>
            <a:buFont typeface="Arial" panose="020B0604020202020204" pitchFamily="34" charset="0"/>
            <a:buChar char="•"/>
          </a:pPr>
          <a:r>
            <a:rPr lang="pt-BR"/>
            <a:t>TESTES DE USABILIDADE COM STAKEHOLDERS</a:t>
          </a:r>
        </a:p>
      </dgm:t>
    </dgm:pt>
    <dgm:pt modelId="{47A20913-4A00-4A4F-AF25-41A6AF336370}" type="parTrans" cxnId="{A4711C57-18A5-4DFE-BC3A-12F616BE7FF3}">
      <dgm:prSet/>
      <dgm:spPr/>
      <dgm:t>
        <a:bodyPr/>
        <a:lstStyle/>
        <a:p>
          <a:endParaRPr lang="pt-BR"/>
        </a:p>
      </dgm:t>
    </dgm:pt>
    <dgm:pt modelId="{DCECAF93-3D80-4C71-9894-C8313D91CD53}" type="sibTrans" cxnId="{A4711C57-18A5-4DFE-BC3A-12F616BE7FF3}">
      <dgm:prSet/>
      <dgm:spPr/>
      <dgm:t>
        <a:bodyPr/>
        <a:lstStyle/>
        <a:p>
          <a:endParaRPr lang="pt-BR"/>
        </a:p>
      </dgm:t>
    </dgm:pt>
    <dgm:pt modelId="{0D1A6C0B-79D7-47A2-B0F4-33C072B0AAEA}">
      <dgm:prSet/>
      <dgm:spPr/>
      <dgm:t>
        <a:bodyPr/>
        <a:lstStyle/>
        <a:p>
          <a:r>
            <a:rPr lang="pt-BR" b="1"/>
            <a:t>DEFINIÇÃO DE CENÁRIOS DE TESTE</a:t>
          </a:r>
          <a:endParaRPr lang="pt-BR"/>
        </a:p>
      </dgm:t>
    </dgm:pt>
    <dgm:pt modelId="{0EE6ECD5-A3CE-456C-8DA8-E2FCAC0825C8}" type="parTrans" cxnId="{76FEBD9A-1612-4E9D-904B-DFFCF314435F}">
      <dgm:prSet/>
      <dgm:spPr/>
      <dgm:t>
        <a:bodyPr/>
        <a:lstStyle/>
        <a:p>
          <a:endParaRPr lang="pt-BR"/>
        </a:p>
      </dgm:t>
    </dgm:pt>
    <dgm:pt modelId="{B631D57A-99A6-42FF-9591-EA7B3EC4C09C}" type="sibTrans" cxnId="{76FEBD9A-1612-4E9D-904B-DFFCF314435F}">
      <dgm:prSet/>
      <dgm:spPr/>
      <dgm:t>
        <a:bodyPr/>
        <a:lstStyle/>
        <a:p>
          <a:endParaRPr lang="pt-BR"/>
        </a:p>
      </dgm:t>
    </dgm:pt>
    <dgm:pt modelId="{4D84D968-1444-4AA9-857D-6156565CA06D}">
      <dgm:prSet/>
      <dgm:spPr/>
      <dgm:t>
        <a:bodyPr/>
        <a:lstStyle/>
        <a:p>
          <a:r>
            <a:rPr lang="pt-BR"/>
            <a:t>TESTES DE USABILIDADE</a:t>
          </a:r>
        </a:p>
      </dgm:t>
    </dgm:pt>
    <dgm:pt modelId="{2F5FEFC0-AA7D-4353-A4DF-4F4559B2E5DE}" type="parTrans" cxnId="{FC4C93D0-49EC-4BF9-BB9A-8B47C9073CDC}">
      <dgm:prSet/>
      <dgm:spPr/>
      <dgm:t>
        <a:bodyPr/>
        <a:lstStyle/>
        <a:p>
          <a:endParaRPr lang="pt-BR"/>
        </a:p>
      </dgm:t>
    </dgm:pt>
    <dgm:pt modelId="{CE5C4FD0-00FE-41CA-BE83-CE4FD0F7398D}" type="sibTrans" cxnId="{FC4C93D0-49EC-4BF9-BB9A-8B47C9073CDC}">
      <dgm:prSet/>
      <dgm:spPr/>
      <dgm:t>
        <a:bodyPr/>
        <a:lstStyle/>
        <a:p>
          <a:endParaRPr lang="pt-BR"/>
        </a:p>
      </dgm:t>
    </dgm:pt>
    <dgm:pt modelId="{78FB916E-F97F-44B1-B3A4-DE90A19BAA02}">
      <dgm:prSet/>
      <dgm:spPr/>
      <dgm:t>
        <a:bodyPr/>
        <a:lstStyle/>
        <a:p>
          <a:r>
            <a:rPr lang="pt-BR"/>
            <a:t>REGISTROS DE RESULTADOS EM RELATÓRIOS DE TESTES</a:t>
          </a:r>
        </a:p>
      </dgm:t>
    </dgm:pt>
    <dgm:pt modelId="{24E2A750-A25B-4634-A2F1-F44DEFB9DCCF}" type="parTrans" cxnId="{BD7FAB52-FAD6-4390-8995-8905AB392D0D}">
      <dgm:prSet/>
      <dgm:spPr/>
      <dgm:t>
        <a:bodyPr/>
        <a:lstStyle/>
        <a:p>
          <a:endParaRPr lang="pt-BR"/>
        </a:p>
      </dgm:t>
    </dgm:pt>
    <dgm:pt modelId="{EF005D9C-9179-4043-94FB-D0CD0F089A4F}" type="sibTrans" cxnId="{BD7FAB52-FAD6-4390-8995-8905AB392D0D}">
      <dgm:prSet/>
      <dgm:spPr/>
      <dgm:t>
        <a:bodyPr/>
        <a:lstStyle/>
        <a:p>
          <a:endParaRPr lang="pt-BR"/>
        </a:p>
      </dgm:t>
    </dgm:pt>
    <dgm:pt modelId="{3E6F3F79-ED3B-46F1-959B-8150A5EAAD1A}">
      <dgm:prSet/>
      <dgm:spPr/>
      <dgm:t>
        <a:bodyPr/>
        <a:lstStyle/>
        <a:p>
          <a:r>
            <a:rPr lang="pt-BR"/>
            <a:t>CORREÇÃO DE BUGS IDENTIFICADOS</a:t>
          </a:r>
        </a:p>
      </dgm:t>
    </dgm:pt>
    <dgm:pt modelId="{5CD779A3-A461-48BE-8306-4AEC359C9657}" type="parTrans" cxnId="{96FE560C-572C-4C9B-9AE6-91E57715ECD6}">
      <dgm:prSet/>
      <dgm:spPr/>
      <dgm:t>
        <a:bodyPr/>
        <a:lstStyle/>
        <a:p>
          <a:endParaRPr lang="pt-BR"/>
        </a:p>
      </dgm:t>
    </dgm:pt>
    <dgm:pt modelId="{7509017F-C27E-48B7-9036-8C135790057E}" type="sibTrans" cxnId="{96FE560C-572C-4C9B-9AE6-91E57715ECD6}">
      <dgm:prSet/>
      <dgm:spPr/>
      <dgm:t>
        <a:bodyPr/>
        <a:lstStyle/>
        <a:p>
          <a:endParaRPr lang="pt-BR"/>
        </a:p>
      </dgm:t>
    </dgm:pt>
    <dgm:pt modelId="{3744F6C1-88E2-47A7-9163-48169ED23270}">
      <dgm:prSet/>
      <dgm:spPr/>
      <dgm:t>
        <a:bodyPr/>
        <a:lstStyle/>
        <a:p>
          <a:r>
            <a:rPr lang="pt-BR"/>
            <a:t>APLICAÇÃO DE TESTES PILOTO COM USUÁRIOS </a:t>
          </a:r>
        </a:p>
      </dgm:t>
    </dgm:pt>
    <dgm:pt modelId="{47A38D87-1F99-47B5-8B83-1A291E09C85B}" type="parTrans" cxnId="{E133C6B8-C7F7-4ED4-A266-87BECBE197ED}">
      <dgm:prSet/>
      <dgm:spPr/>
      <dgm:t>
        <a:bodyPr/>
        <a:lstStyle/>
        <a:p>
          <a:endParaRPr lang="pt-BR"/>
        </a:p>
      </dgm:t>
    </dgm:pt>
    <dgm:pt modelId="{36CF8350-8E57-42F2-A077-A6AE6AAD0B67}" type="sibTrans" cxnId="{E133C6B8-C7F7-4ED4-A266-87BECBE197ED}">
      <dgm:prSet/>
      <dgm:spPr/>
      <dgm:t>
        <a:bodyPr/>
        <a:lstStyle/>
        <a:p>
          <a:endParaRPr lang="pt-BR"/>
        </a:p>
      </dgm:t>
    </dgm:pt>
    <dgm:pt modelId="{368C1CBB-3E33-47ED-9D57-F0B7BCA1FCAF}">
      <dgm:prSet/>
      <dgm:spPr/>
      <dgm:t>
        <a:bodyPr/>
        <a:lstStyle/>
        <a:p>
          <a:r>
            <a:rPr lang="pt-BR"/>
            <a:t>COLETA DE FEEDBACK SOBRE NAVEGAÇÃO</a:t>
          </a:r>
        </a:p>
      </dgm:t>
    </dgm:pt>
    <dgm:pt modelId="{1A2F6BDF-FA27-407A-815F-CCC26416743E}" type="parTrans" cxnId="{0B00B6A6-CBDC-40B4-B889-0FF48DF01957}">
      <dgm:prSet/>
      <dgm:spPr/>
      <dgm:t>
        <a:bodyPr/>
        <a:lstStyle/>
        <a:p>
          <a:endParaRPr lang="pt-BR"/>
        </a:p>
      </dgm:t>
    </dgm:pt>
    <dgm:pt modelId="{3C3D26ED-1D4F-46B4-80EC-2D477B98FC18}" type="sibTrans" cxnId="{0B00B6A6-CBDC-40B4-B889-0FF48DF01957}">
      <dgm:prSet/>
      <dgm:spPr/>
      <dgm:t>
        <a:bodyPr/>
        <a:lstStyle/>
        <a:p>
          <a:endParaRPr lang="pt-BR"/>
        </a:p>
      </dgm:t>
    </dgm:pt>
    <dgm:pt modelId="{3E4366ED-56BD-4CD2-B25D-EC6A6CBD67C3}">
      <dgm:prSet/>
      <dgm:spPr/>
      <dgm:t>
        <a:bodyPr/>
        <a:lstStyle/>
        <a:p>
          <a:r>
            <a:rPr lang="pt-BR"/>
            <a:t>VALIDAÇÃO DE RESPONSIVIDADE</a:t>
          </a:r>
        </a:p>
      </dgm:t>
    </dgm:pt>
    <dgm:pt modelId="{E3E1282F-88A6-4E37-8ADF-21463FF4DBF1}" type="parTrans" cxnId="{AE9F9094-E2A1-48A5-9B8C-245304BF5657}">
      <dgm:prSet/>
      <dgm:spPr/>
      <dgm:t>
        <a:bodyPr/>
        <a:lstStyle/>
        <a:p>
          <a:endParaRPr lang="pt-BR"/>
        </a:p>
      </dgm:t>
    </dgm:pt>
    <dgm:pt modelId="{DED8C847-404A-4BED-9AAC-8E06AB6B5435}" type="sibTrans" cxnId="{AE9F9094-E2A1-48A5-9B8C-245304BF5657}">
      <dgm:prSet/>
      <dgm:spPr/>
      <dgm:t>
        <a:bodyPr/>
        <a:lstStyle/>
        <a:p>
          <a:endParaRPr lang="pt-BR"/>
        </a:p>
      </dgm:t>
    </dgm:pt>
    <dgm:pt modelId="{BE31271E-A076-4ED9-AC21-79688A8463AF}">
      <dgm:prSet/>
      <dgm:spPr/>
      <dgm:t>
        <a:bodyPr/>
        <a:lstStyle/>
        <a:p>
          <a:r>
            <a:rPr lang="pt-BR"/>
            <a:t>HOMOLOGAÇÃO</a:t>
          </a:r>
        </a:p>
      </dgm:t>
    </dgm:pt>
    <dgm:pt modelId="{908A9419-1882-4813-B835-2E974B1EF0B5}" type="parTrans" cxnId="{7F9D5568-A283-4D6B-B15C-78EA80D23AEC}">
      <dgm:prSet/>
      <dgm:spPr/>
      <dgm:t>
        <a:bodyPr/>
        <a:lstStyle/>
        <a:p>
          <a:endParaRPr lang="pt-BR"/>
        </a:p>
      </dgm:t>
    </dgm:pt>
    <dgm:pt modelId="{C50AA7D3-A272-439F-B2DE-863B3E1B0838}" type="sibTrans" cxnId="{7F9D5568-A283-4D6B-B15C-78EA80D23AEC}">
      <dgm:prSet/>
      <dgm:spPr/>
      <dgm:t>
        <a:bodyPr/>
        <a:lstStyle/>
        <a:p>
          <a:endParaRPr lang="pt-BR"/>
        </a:p>
      </dgm:t>
    </dgm:pt>
    <dgm:pt modelId="{C8F46018-B988-46AE-BE3D-A99F5B406FD6}">
      <dgm:prSet/>
      <dgm:spPr/>
      <dgm:t>
        <a:bodyPr/>
        <a:lstStyle/>
        <a:p>
          <a:r>
            <a:rPr lang="pt-BR"/>
            <a:t>PREPARAÇÃO DE AMBIENTE DE HOMOLOGAÇÃO</a:t>
          </a:r>
        </a:p>
      </dgm:t>
    </dgm:pt>
    <dgm:pt modelId="{0A1FA39F-1101-4800-8C61-3AD9D90E4CAE}" type="parTrans" cxnId="{9BED78EE-3125-42B5-919A-E6981982D396}">
      <dgm:prSet/>
      <dgm:spPr/>
      <dgm:t>
        <a:bodyPr/>
        <a:lstStyle/>
        <a:p>
          <a:endParaRPr lang="pt-BR"/>
        </a:p>
      </dgm:t>
    </dgm:pt>
    <dgm:pt modelId="{90B0C7DD-B992-411E-9116-3C41487FD515}" type="sibTrans" cxnId="{9BED78EE-3125-42B5-919A-E6981982D396}">
      <dgm:prSet/>
      <dgm:spPr/>
      <dgm:t>
        <a:bodyPr/>
        <a:lstStyle/>
        <a:p>
          <a:endParaRPr lang="pt-BR"/>
        </a:p>
      </dgm:t>
    </dgm:pt>
    <dgm:pt modelId="{FF33A1DC-33CA-4A96-A73E-D356FF7B6865}">
      <dgm:prSet/>
      <dgm:spPr/>
      <dgm:t>
        <a:bodyPr/>
        <a:lstStyle/>
        <a:p>
          <a:r>
            <a:rPr lang="pt-BR"/>
            <a:t>DEMONSTRAÇÃO DO DASHBOARD PARA O CLIENTE</a:t>
          </a:r>
        </a:p>
      </dgm:t>
    </dgm:pt>
    <dgm:pt modelId="{83D46465-EBBF-4F96-A727-54A60F3A5461}" type="parTrans" cxnId="{E1D97B6C-FA66-4298-AF7F-D53144236D57}">
      <dgm:prSet/>
      <dgm:spPr/>
      <dgm:t>
        <a:bodyPr/>
        <a:lstStyle/>
        <a:p>
          <a:endParaRPr lang="pt-BR"/>
        </a:p>
      </dgm:t>
    </dgm:pt>
    <dgm:pt modelId="{4F0D8F7A-2E41-4B0F-A954-3A60320C4172}" type="sibTrans" cxnId="{E1D97B6C-FA66-4298-AF7F-D53144236D57}">
      <dgm:prSet/>
      <dgm:spPr/>
      <dgm:t>
        <a:bodyPr/>
        <a:lstStyle/>
        <a:p>
          <a:endParaRPr lang="pt-BR"/>
        </a:p>
      </dgm:t>
    </dgm:pt>
    <dgm:pt modelId="{F90F24E4-2334-448C-81F9-6BD5CF8505B6}">
      <dgm:prSet/>
      <dgm:spPr/>
      <dgm:t>
        <a:bodyPr/>
        <a:lstStyle/>
        <a:p>
          <a:r>
            <a:rPr lang="pt-BR"/>
            <a:t>AJUSTES FINAIS E LIBERAÇÃO PARA PRODUÇÃO</a:t>
          </a:r>
        </a:p>
      </dgm:t>
    </dgm:pt>
    <dgm:pt modelId="{A84ACBF0-1498-4B15-ADCF-B843AAA2EC73}" type="parTrans" cxnId="{69D251A7-3422-4167-8618-7775D3760414}">
      <dgm:prSet/>
      <dgm:spPr/>
      <dgm:t>
        <a:bodyPr/>
        <a:lstStyle/>
        <a:p>
          <a:endParaRPr lang="pt-BR"/>
        </a:p>
      </dgm:t>
    </dgm:pt>
    <dgm:pt modelId="{759A5A34-C86E-46DD-BD1D-3DC3B59A3897}" type="sibTrans" cxnId="{69D251A7-3422-4167-8618-7775D3760414}">
      <dgm:prSet/>
      <dgm:spPr/>
      <dgm:t>
        <a:bodyPr/>
        <a:lstStyle/>
        <a:p>
          <a:endParaRPr lang="pt-BR"/>
        </a:p>
      </dgm:t>
    </dgm:pt>
    <dgm:pt modelId="{0102E4FE-20A8-44CB-9044-37DB2019EEF7}">
      <dgm:prSet phldrT="[Texto]" custT="1"/>
      <dgm:spPr/>
      <dgm:t>
        <a:bodyPr/>
        <a:lstStyle/>
        <a:p>
          <a:r>
            <a:rPr lang="pt-BR" sz="800" b="1"/>
            <a:t>GERENCIAMENTO</a:t>
          </a:r>
        </a:p>
      </dgm:t>
    </dgm:pt>
    <dgm:pt modelId="{E7C380F8-F032-4E10-986A-DDA7FC09E32D}" type="sibTrans" cxnId="{8856D64A-8E4C-492F-98E8-19CF0A0ADB32}">
      <dgm:prSet/>
      <dgm:spPr/>
      <dgm:t>
        <a:bodyPr/>
        <a:lstStyle/>
        <a:p>
          <a:endParaRPr lang="pt-BR"/>
        </a:p>
      </dgm:t>
    </dgm:pt>
    <dgm:pt modelId="{2EDE4DE6-9005-475A-8D27-D82D00EB941C}" type="parTrans" cxnId="{8856D64A-8E4C-492F-98E8-19CF0A0ADB32}">
      <dgm:prSet/>
      <dgm:spPr/>
      <dgm:t>
        <a:bodyPr/>
        <a:lstStyle/>
        <a:p>
          <a:endParaRPr lang="pt-BR"/>
        </a:p>
      </dgm:t>
    </dgm:pt>
    <dgm:pt modelId="{236AA128-08C9-44E9-A07E-E9063EC662C7}">
      <dgm:prSet/>
      <dgm:spPr/>
      <dgm:t>
        <a:bodyPr/>
        <a:lstStyle/>
        <a:p>
          <a:r>
            <a:rPr lang="pt-BR"/>
            <a:t>REUNIÃO DE ALINHAMENTO COM STAKEHOLDERS</a:t>
          </a:r>
        </a:p>
      </dgm:t>
    </dgm:pt>
    <dgm:pt modelId="{884057CA-0B89-411E-8EB7-D1A853F68475}" type="parTrans" cxnId="{2411D672-4E22-459B-BFAB-6E343050D4A2}">
      <dgm:prSet/>
      <dgm:spPr/>
      <dgm:t>
        <a:bodyPr/>
        <a:lstStyle/>
        <a:p>
          <a:endParaRPr lang="pt-BR"/>
        </a:p>
      </dgm:t>
    </dgm:pt>
    <dgm:pt modelId="{F41E9E71-9197-4A71-B7B2-3E3B1E0E7084}" type="sibTrans" cxnId="{2411D672-4E22-459B-BFAB-6E343050D4A2}">
      <dgm:prSet/>
      <dgm:spPr/>
      <dgm:t>
        <a:bodyPr/>
        <a:lstStyle/>
        <a:p>
          <a:endParaRPr lang="pt-BR"/>
        </a:p>
      </dgm:t>
    </dgm:pt>
    <dgm:pt modelId="{6DE94ADC-319E-4C5E-823C-F2CBE9684D16}" type="pres">
      <dgm:prSet presAssocID="{0CFB7DD9-0DA5-4E4C-8DA3-9F1B6119F4C6}" presName="hierChild1" presStyleCnt="0">
        <dgm:presLayoutVars>
          <dgm:orgChart val="1"/>
          <dgm:chPref val="1"/>
          <dgm:dir/>
          <dgm:animOne val="branch"/>
          <dgm:animLvl val="lvl"/>
          <dgm:resizeHandles/>
        </dgm:presLayoutVars>
      </dgm:prSet>
      <dgm:spPr/>
    </dgm:pt>
    <dgm:pt modelId="{6CE5141C-EEF8-4D42-8486-2C46065F6CDF}" type="pres">
      <dgm:prSet presAssocID="{0102E4FE-20A8-44CB-9044-37DB2019EEF7}" presName="hierRoot1" presStyleCnt="0">
        <dgm:presLayoutVars>
          <dgm:hierBranch val="init"/>
        </dgm:presLayoutVars>
      </dgm:prSet>
      <dgm:spPr/>
    </dgm:pt>
    <dgm:pt modelId="{4ABA9124-2E52-4303-9736-B86491C91DB4}" type="pres">
      <dgm:prSet presAssocID="{0102E4FE-20A8-44CB-9044-37DB2019EEF7}" presName="rootComposite1" presStyleCnt="0"/>
      <dgm:spPr/>
    </dgm:pt>
    <dgm:pt modelId="{C400F1F9-7EB9-41D7-BB05-46DCA840A9E4}" type="pres">
      <dgm:prSet presAssocID="{0102E4FE-20A8-44CB-9044-37DB2019EEF7}" presName="rootText1" presStyleLbl="node0" presStyleIdx="0" presStyleCnt="3" custScaleX="208825">
        <dgm:presLayoutVars>
          <dgm:chPref val="3"/>
        </dgm:presLayoutVars>
      </dgm:prSet>
      <dgm:spPr/>
    </dgm:pt>
    <dgm:pt modelId="{3ADA15F7-DDC9-40CC-B66D-55B3D42160C2}" type="pres">
      <dgm:prSet presAssocID="{0102E4FE-20A8-44CB-9044-37DB2019EEF7}" presName="rootConnector1" presStyleLbl="node1" presStyleIdx="0" presStyleCnt="0"/>
      <dgm:spPr/>
    </dgm:pt>
    <dgm:pt modelId="{151DAF7B-D43A-4640-84C7-284BA1860D25}" type="pres">
      <dgm:prSet presAssocID="{0102E4FE-20A8-44CB-9044-37DB2019EEF7}" presName="hierChild2" presStyleCnt="0"/>
      <dgm:spPr/>
    </dgm:pt>
    <dgm:pt modelId="{034398FC-8D76-471C-995A-6E7D2346047A}" type="pres">
      <dgm:prSet presAssocID="{D6922E7D-1806-4E3F-8FA5-876C5E53C8A8}" presName="Name37" presStyleLbl="parChTrans1D2" presStyleIdx="0" presStyleCnt="11"/>
      <dgm:spPr/>
    </dgm:pt>
    <dgm:pt modelId="{395EB07B-D756-48B9-8E6B-0ABCAA358A8B}" type="pres">
      <dgm:prSet presAssocID="{8D244D8F-C792-40BC-A511-7DE39E45E194}" presName="hierRoot2" presStyleCnt="0">
        <dgm:presLayoutVars>
          <dgm:hierBranch val="init"/>
        </dgm:presLayoutVars>
      </dgm:prSet>
      <dgm:spPr/>
    </dgm:pt>
    <dgm:pt modelId="{2E93B589-2A20-44F7-9ABB-E17A489F015F}" type="pres">
      <dgm:prSet presAssocID="{8D244D8F-C792-40BC-A511-7DE39E45E194}" presName="rootComposite" presStyleCnt="0"/>
      <dgm:spPr/>
    </dgm:pt>
    <dgm:pt modelId="{870B33F5-4B7C-42CB-A41E-B6450C2B1589}" type="pres">
      <dgm:prSet presAssocID="{8D244D8F-C792-40BC-A511-7DE39E45E194}" presName="rootText" presStyleLbl="node2" presStyleIdx="0" presStyleCnt="11">
        <dgm:presLayoutVars>
          <dgm:chPref val="3"/>
        </dgm:presLayoutVars>
      </dgm:prSet>
      <dgm:spPr/>
    </dgm:pt>
    <dgm:pt modelId="{DE34633F-BCA4-4794-A52D-60753C50AA03}" type="pres">
      <dgm:prSet presAssocID="{8D244D8F-C792-40BC-A511-7DE39E45E194}" presName="rootConnector" presStyleLbl="node2" presStyleIdx="0" presStyleCnt="11"/>
      <dgm:spPr/>
    </dgm:pt>
    <dgm:pt modelId="{F3F62313-21E2-4F00-AC41-E701E280D38B}" type="pres">
      <dgm:prSet presAssocID="{8D244D8F-C792-40BC-A511-7DE39E45E194}" presName="hierChild4" presStyleCnt="0"/>
      <dgm:spPr/>
    </dgm:pt>
    <dgm:pt modelId="{1C8E36A6-0B49-41D1-8A97-D670B1ADDBFB}" type="pres">
      <dgm:prSet presAssocID="{B5B99BBF-342F-4A4E-BF02-3E97606E944D}" presName="Name37" presStyleLbl="parChTrans1D3" presStyleIdx="0" presStyleCnt="33"/>
      <dgm:spPr/>
    </dgm:pt>
    <dgm:pt modelId="{BE1DB509-9E0E-45BD-878E-89370FC0D1CF}" type="pres">
      <dgm:prSet presAssocID="{B6389D6D-8AE5-4B3C-9BF6-CF7D2B974EDD}" presName="hierRoot2" presStyleCnt="0">
        <dgm:presLayoutVars>
          <dgm:hierBranch val="init"/>
        </dgm:presLayoutVars>
      </dgm:prSet>
      <dgm:spPr/>
    </dgm:pt>
    <dgm:pt modelId="{AB217FD7-8561-4E63-B8C7-00623212D7F1}" type="pres">
      <dgm:prSet presAssocID="{B6389D6D-8AE5-4B3C-9BF6-CF7D2B974EDD}" presName="rootComposite" presStyleCnt="0"/>
      <dgm:spPr/>
    </dgm:pt>
    <dgm:pt modelId="{2188183F-756F-4DB8-BD64-8C99E46DB1C1}" type="pres">
      <dgm:prSet presAssocID="{B6389D6D-8AE5-4B3C-9BF6-CF7D2B974EDD}" presName="rootText" presStyleLbl="node3" presStyleIdx="0" presStyleCnt="33">
        <dgm:presLayoutVars>
          <dgm:chPref val="3"/>
        </dgm:presLayoutVars>
      </dgm:prSet>
      <dgm:spPr/>
    </dgm:pt>
    <dgm:pt modelId="{9F8C18FE-4FA2-40CE-A611-AE1AD1092B1A}" type="pres">
      <dgm:prSet presAssocID="{B6389D6D-8AE5-4B3C-9BF6-CF7D2B974EDD}" presName="rootConnector" presStyleLbl="node3" presStyleIdx="0" presStyleCnt="33"/>
      <dgm:spPr/>
    </dgm:pt>
    <dgm:pt modelId="{A4440161-F795-4EE9-B7F5-F2C4B9AD8732}" type="pres">
      <dgm:prSet presAssocID="{B6389D6D-8AE5-4B3C-9BF6-CF7D2B974EDD}" presName="hierChild4" presStyleCnt="0"/>
      <dgm:spPr/>
    </dgm:pt>
    <dgm:pt modelId="{E4BAE1F9-6526-44B8-B23A-DC38E5FD8E93}" type="pres">
      <dgm:prSet presAssocID="{B6389D6D-8AE5-4B3C-9BF6-CF7D2B974EDD}" presName="hierChild5" presStyleCnt="0"/>
      <dgm:spPr/>
    </dgm:pt>
    <dgm:pt modelId="{29F56295-D546-4C31-91CD-AD5695AA4980}" type="pres">
      <dgm:prSet presAssocID="{CB1CFF7C-42F1-4A09-8B31-0773BB970F24}" presName="Name37" presStyleLbl="parChTrans1D3" presStyleIdx="1" presStyleCnt="33"/>
      <dgm:spPr/>
    </dgm:pt>
    <dgm:pt modelId="{96ACF30E-C3BD-4287-A1BA-18E748A13D77}" type="pres">
      <dgm:prSet presAssocID="{939AE253-A7E2-4EBA-B997-5913C2301F5A}" presName="hierRoot2" presStyleCnt="0">
        <dgm:presLayoutVars>
          <dgm:hierBranch val="init"/>
        </dgm:presLayoutVars>
      </dgm:prSet>
      <dgm:spPr/>
    </dgm:pt>
    <dgm:pt modelId="{F0FB5773-70BF-4B85-AEB0-4781F696BAF7}" type="pres">
      <dgm:prSet presAssocID="{939AE253-A7E2-4EBA-B997-5913C2301F5A}" presName="rootComposite" presStyleCnt="0"/>
      <dgm:spPr/>
    </dgm:pt>
    <dgm:pt modelId="{17F7A3BA-A21D-4120-845F-DE69BEDDBBEF}" type="pres">
      <dgm:prSet presAssocID="{939AE253-A7E2-4EBA-B997-5913C2301F5A}" presName="rootText" presStyleLbl="node3" presStyleIdx="1" presStyleCnt="33">
        <dgm:presLayoutVars>
          <dgm:chPref val="3"/>
        </dgm:presLayoutVars>
      </dgm:prSet>
      <dgm:spPr/>
    </dgm:pt>
    <dgm:pt modelId="{E3693A93-0BFA-42AA-8323-A669AE1BE27D}" type="pres">
      <dgm:prSet presAssocID="{939AE253-A7E2-4EBA-B997-5913C2301F5A}" presName="rootConnector" presStyleLbl="node3" presStyleIdx="1" presStyleCnt="33"/>
      <dgm:spPr/>
    </dgm:pt>
    <dgm:pt modelId="{78A2DCC0-688C-4448-8291-08DF604CDA4D}" type="pres">
      <dgm:prSet presAssocID="{939AE253-A7E2-4EBA-B997-5913C2301F5A}" presName="hierChild4" presStyleCnt="0"/>
      <dgm:spPr/>
    </dgm:pt>
    <dgm:pt modelId="{3B4D3A5A-2B85-433F-9401-7770456B2D2F}" type="pres">
      <dgm:prSet presAssocID="{939AE253-A7E2-4EBA-B997-5913C2301F5A}" presName="hierChild5" presStyleCnt="0"/>
      <dgm:spPr/>
    </dgm:pt>
    <dgm:pt modelId="{E005C577-C34E-4108-9C75-E06049D73B11}" type="pres">
      <dgm:prSet presAssocID="{D433E747-1E2C-41A0-B616-42B31870972F}" presName="Name37" presStyleLbl="parChTrans1D3" presStyleIdx="2" presStyleCnt="33"/>
      <dgm:spPr/>
    </dgm:pt>
    <dgm:pt modelId="{FD4F74BC-2C6E-4E9B-86E4-3B35F578A118}" type="pres">
      <dgm:prSet presAssocID="{6ED531EE-0BC7-4118-B43F-7D8D436633A8}" presName="hierRoot2" presStyleCnt="0">
        <dgm:presLayoutVars>
          <dgm:hierBranch val="init"/>
        </dgm:presLayoutVars>
      </dgm:prSet>
      <dgm:spPr/>
    </dgm:pt>
    <dgm:pt modelId="{AD8BE2AB-DFB8-4A0B-9985-FA03ECEA0F9B}" type="pres">
      <dgm:prSet presAssocID="{6ED531EE-0BC7-4118-B43F-7D8D436633A8}" presName="rootComposite" presStyleCnt="0"/>
      <dgm:spPr/>
    </dgm:pt>
    <dgm:pt modelId="{656BF3EA-28AD-413D-AF2E-2C0FEA905081}" type="pres">
      <dgm:prSet presAssocID="{6ED531EE-0BC7-4118-B43F-7D8D436633A8}" presName="rootText" presStyleLbl="node3" presStyleIdx="2" presStyleCnt="33">
        <dgm:presLayoutVars>
          <dgm:chPref val="3"/>
        </dgm:presLayoutVars>
      </dgm:prSet>
      <dgm:spPr/>
    </dgm:pt>
    <dgm:pt modelId="{5E347A1A-EE32-4C05-A5F8-4CF2869BE9D7}" type="pres">
      <dgm:prSet presAssocID="{6ED531EE-0BC7-4118-B43F-7D8D436633A8}" presName="rootConnector" presStyleLbl="node3" presStyleIdx="2" presStyleCnt="33"/>
      <dgm:spPr/>
    </dgm:pt>
    <dgm:pt modelId="{22DBFF7D-2B0C-45CD-ACD3-4AA9F3B4F305}" type="pres">
      <dgm:prSet presAssocID="{6ED531EE-0BC7-4118-B43F-7D8D436633A8}" presName="hierChild4" presStyleCnt="0"/>
      <dgm:spPr/>
    </dgm:pt>
    <dgm:pt modelId="{28B5B76E-C087-43BB-8A5A-B79DE7BFC3BB}" type="pres">
      <dgm:prSet presAssocID="{6ED531EE-0BC7-4118-B43F-7D8D436633A8}" presName="hierChild5" presStyleCnt="0"/>
      <dgm:spPr/>
    </dgm:pt>
    <dgm:pt modelId="{C4CADB5A-28C5-4190-86F8-BCF95635D5F2}" type="pres">
      <dgm:prSet presAssocID="{E747D289-1F71-4811-AA7E-4D7C7746AD32}" presName="Name37" presStyleLbl="parChTrans1D3" presStyleIdx="3" presStyleCnt="33"/>
      <dgm:spPr/>
    </dgm:pt>
    <dgm:pt modelId="{3D35E54D-0273-435E-8566-79D053A6D0B1}" type="pres">
      <dgm:prSet presAssocID="{73371C27-A7CB-4C2B-A967-EAD3B11B162C}" presName="hierRoot2" presStyleCnt="0">
        <dgm:presLayoutVars>
          <dgm:hierBranch val="init"/>
        </dgm:presLayoutVars>
      </dgm:prSet>
      <dgm:spPr/>
    </dgm:pt>
    <dgm:pt modelId="{E9F30D65-E883-4D3A-8FFA-FD62C3EBBFE3}" type="pres">
      <dgm:prSet presAssocID="{73371C27-A7CB-4C2B-A967-EAD3B11B162C}" presName="rootComposite" presStyleCnt="0"/>
      <dgm:spPr/>
    </dgm:pt>
    <dgm:pt modelId="{F11E0FA5-B364-4F8A-A702-D9613ECD8517}" type="pres">
      <dgm:prSet presAssocID="{73371C27-A7CB-4C2B-A967-EAD3B11B162C}" presName="rootText" presStyleLbl="node3" presStyleIdx="3" presStyleCnt="33">
        <dgm:presLayoutVars>
          <dgm:chPref val="3"/>
        </dgm:presLayoutVars>
      </dgm:prSet>
      <dgm:spPr/>
    </dgm:pt>
    <dgm:pt modelId="{94DC24B2-8898-4CCD-931C-1875A0478F39}" type="pres">
      <dgm:prSet presAssocID="{73371C27-A7CB-4C2B-A967-EAD3B11B162C}" presName="rootConnector" presStyleLbl="node3" presStyleIdx="3" presStyleCnt="33"/>
      <dgm:spPr/>
    </dgm:pt>
    <dgm:pt modelId="{10AD43C5-47D1-4C18-A9B2-D53794B886B2}" type="pres">
      <dgm:prSet presAssocID="{73371C27-A7CB-4C2B-A967-EAD3B11B162C}" presName="hierChild4" presStyleCnt="0"/>
      <dgm:spPr/>
    </dgm:pt>
    <dgm:pt modelId="{866733DD-2168-432D-B3C7-8774B8946EB9}" type="pres">
      <dgm:prSet presAssocID="{73371C27-A7CB-4C2B-A967-EAD3B11B162C}" presName="hierChild5" presStyleCnt="0"/>
      <dgm:spPr/>
    </dgm:pt>
    <dgm:pt modelId="{144CCAB9-D87B-42F1-88BE-B4A99455AB5E}" type="pres">
      <dgm:prSet presAssocID="{8D244D8F-C792-40BC-A511-7DE39E45E194}" presName="hierChild5" presStyleCnt="0"/>
      <dgm:spPr/>
    </dgm:pt>
    <dgm:pt modelId="{27AB4ADB-A857-4F76-8685-F2A81693BA44}" type="pres">
      <dgm:prSet presAssocID="{E2EA6942-20E6-4D51-99FA-C77C5E746936}" presName="Name37" presStyleLbl="parChTrans1D2" presStyleIdx="1" presStyleCnt="11"/>
      <dgm:spPr/>
    </dgm:pt>
    <dgm:pt modelId="{72A1D280-EDB9-46E8-BE44-7569D2E34EF3}" type="pres">
      <dgm:prSet presAssocID="{809B22AA-EB2B-4C4F-82C3-E979FD4CF357}" presName="hierRoot2" presStyleCnt="0">
        <dgm:presLayoutVars>
          <dgm:hierBranch val="init"/>
        </dgm:presLayoutVars>
      </dgm:prSet>
      <dgm:spPr/>
    </dgm:pt>
    <dgm:pt modelId="{DE08AA9E-1791-462A-B625-C1B06280F9C7}" type="pres">
      <dgm:prSet presAssocID="{809B22AA-EB2B-4C4F-82C3-E979FD4CF357}" presName="rootComposite" presStyleCnt="0"/>
      <dgm:spPr/>
    </dgm:pt>
    <dgm:pt modelId="{62F4258B-C5E7-4DDD-9EE3-406ED25B322B}" type="pres">
      <dgm:prSet presAssocID="{809B22AA-EB2B-4C4F-82C3-E979FD4CF357}" presName="rootText" presStyleLbl="node2" presStyleIdx="1" presStyleCnt="11">
        <dgm:presLayoutVars>
          <dgm:chPref val="3"/>
        </dgm:presLayoutVars>
      </dgm:prSet>
      <dgm:spPr/>
    </dgm:pt>
    <dgm:pt modelId="{FFF75D31-3CF0-4E0B-BC27-9EA425F70DE6}" type="pres">
      <dgm:prSet presAssocID="{809B22AA-EB2B-4C4F-82C3-E979FD4CF357}" presName="rootConnector" presStyleLbl="node2" presStyleIdx="1" presStyleCnt="11"/>
      <dgm:spPr/>
    </dgm:pt>
    <dgm:pt modelId="{8D51CCFB-E934-4B93-99D0-879D141F5B40}" type="pres">
      <dgm:prSet presAssocID="{809B22AA-EB2B-4C4F-82C3-E979FD4CF357}" presName="hierChild4" presStyleCnt="0"/>
      <dgm:spPr/>
    </dgm:pt>
    <dgm:pt modelId="{094CB323-7459-4E10-949F-4ED9FC79477A}" type="pres">
      <dgm:prSet presAssocID="{9792CF75-292C-4BCA-A2CF-C2FA68F001BD}" presName="Name37" presStyleLbl="parChTrans1D3" presStyleIdx="4" presStyleCnt="33"/>
      <dgm:spPr/>
    </dgm:pt>
    <dgm:pt modelId="{19C18ADF-6591-426B-B588-2062CBC534E3}" type="pres">
      <dgm:prSet presAssocID="{97F38E1B-8B0A-4C1C-BB0E-8DC2824BBDEE}" presName="hierRoot2" presStyleCnt="0">
        <dgm:presLayoutVars>
          <dgm:hierBranch val="init"/>
        </dgm:presLayoutVars>
      </dgm:prSet>
      <dgm:spPr/>
    </dgm:pt>
    <dgm:pt modelId="{64AEDC4A-F701-41BC-9BD5-1BEA16E13620}" type="pres">
      <dgm:prSet presAssocID="{97F38E1B-8B0A-4C1C-BB0E-8DC2824BBDEE}" presName="rootComposite" presStyleCnt="0"/>
      <dgm:spPr/>
    </dgm:pt>
    <dgm:pt modelId="{ACF06D77-4611-4650-98EF-5185D810B6AE}" type="pres">
      <dgm:prSet presAssocID="{97F38E1B-8B0A-4C1C-BB0E-8DC2824BBDEE}" presName="rootText" presStyleLbl="node3" presStyleIdx="4" presStyleCnt="33">
        <dgm:presLayoutVars>
          <dgm:chPref val="3"/>
        </dgm:presLayoutVars>
      </dgm:prSet>
      <dgm:spPr/>
    </dgm:pt>
    <dgm:pt modelId="{C57971A1-4B4D-459F-9574-A62CA6811291}" type="pres">
      <dgm:prSet presAssocID="{97F38E1B-8B0A-4C1C-BB0E-8DC2824BBDEE}" presName="rootConnector" presStyleLbl="node3" presStyleIdx="4" presStyleCnt="33"/>
      <dgm:spPr/>
    </dgm:pt>
    <dgm:pt modelId="{CBCBE114-A26E-4ABB-A93D-736E600EDB6B}" type="pres">
      <dgm:prSet presAssocID="{97F38E1B-8B0A-4C1C-BB0E-8DC2824BBDEE}" presName="hierChild4" presStyleCnt="0"/>
      <dgm:spPr/>
    </dgm:pt>
    <dgm:pt modelId="{F970536D-FAFB-4C8D-8037-06295DD6472D}" type="pres">
      <dgm:prSet presAssocID="{B7B3C6AE-DFBB-46A9-8CF1-A1BD803B9409}" presName="Name37" presStyleLbl="parChTrans1D4" presStyleIdx="0" presStyleCnt="37"/>
      <dgm:spPr/>
    </dgm:pt>
    <dgm:pt modelId="{F3568E19-B222-45D2-A00A-4744C37A9085}" type="pres">
      <dgm:prSet presAssocID="{86AF350A-A785-4BDD-9C13-1E90196942B4}" presName="hierRoot2" presStyleCnt="0">
        <dgm:presLayoutVars>
          <dgm:hierBranch val="init"/>
        </dgm:presLayoutVars>
      </dgm:prSet>
      <dgm:spPr/>
    </dgm:pt>
    <dgm:pt modelId="{C7AE11EE-EF54-4E64-9B4A-00CB24DD8FF5}" type="pres">
      <dgm:prSet presAssocID="{86AF350A-A785-4BDD-9C13-1E90196942B4}" presName="rootComposite" presStyleCnt="0"/>
      <dgm:spPr/>
    </dgm:pt>
    <dgm:pt modelId="{D1291E23-1C8E-4419-B3CD-77D118F1FD12}" type="pres">
      <dgm:prSet presAssocID="{86AF350A-A785-4BDD-9C13-1E90196942B4}" presName="rootText" presStyleLbl="node4" presStyleIdx="0" presStyleCnt="37">
        <dgm:presLayoutVars>
          <dgm:chPref val="3"/>
        </dgm:presLayoutVars>
      </dgm:prSet>
      <dgm:spPr/>
    </dgm:pt>
    <dgm:pt modelId="{15F1B390-CAFA-4C33-8AA9-ED5F2603762F}" type="pres">
      <dgm:prSet presAssocID="{86AF350A-A785-4BDD-9C13-1E90196942B4}" presName="rootConnector" presStyleLbl="node4" presStyleIdx="0" presStyleCnt="37"/>
      <dgm:spPr/>
    </dgm:pt>
    <dgm:pt modelId="{1D492F39-7B31-45E9-B4E3-92FAF979E674}" type="pres">
      <dgm:prSet presAssocID="{86AF350A-A785-4BDD-9C13-1E90196942B4}" presName="hierChild4" presStyleCnt="0"/>
      <dgm:spPr/>
    </dgm:pt>
    <dgm:pt modelId="{E4432B7A-B481-44AE-9275-C01945717827}" type="pres">
      <dgm:prSet presAssocID="{E0114C20-3A39-4242-9BD4-7E3A42C0079E}" presName="Name37" presStyleLbl="parChTrans1D4" presStyleIdx="1" presStyleCnt="37"/>
      <dgm:spPr/>
    </dgm:pt>
    <dgm:pt modelId="{51BC7CD0-ACCD-457E-A98F-EA454DF6DA3F}" type="pres">
      <dgm:prSet presAssocID="{95643014-9364-4ED7-A23C-11FF87634454}" presName="hierRoot2" presStyleCnt="0">
        <dgm:presLayoutVars>
          <dgm:hierBranch val="init"/>
        </dgm:presLayoutVars>
      </dgm:prSet>
      <dgm:spPr/>
    </dgm:pt>
    <dgm:pt modelId="{8F86DE49-2D8A-4F3B-B6BD-91BCF89BEB0A}" type="pres">
      <dgm:prSet presAssocID="{95643014-9364-4ED7-A23C-11FF87634454}" presName="rootComposite" presStyleCnt="0"/>
      <dgm:spPr/>
    </dgm:pt>
    <dgm:pt modelId="{27F7AE64-A30D-4D24-959B-7576B13E78D3}" type="pres">
      <dgm:prSet presAssocID="{95643014-9364-4ED7-A23C-11FF87634454}" presName="rootText" presStyleLbl="node4" presStyleIdx="1" presStyleCnt="37">
        <dgm:presLayoutVars>
          <dgm:chPref val="3"/>
        </dgm:presLayoutVars>
      </dgm:prSet>
      <dgm:spPr/>
    </dgm:pt>
    <dgm:pt modelId="{E7FA0C38-05C7-4287-A09C-5E2C5DFB8C78}" type="pres">
      <dgm:prSet presAssocID="{95643014-9364-4ED7-A23C-11FF87634454}" presName="rootConnector" presStyleLbl="node4" presStyleIdx="1" presStyleCnt="37"/>
      <dgm:spPr/>
    </dgm:pt>
    <dgm:pt modelId="{A7327040-9C86-40AB-9B40-2E3562CA4CEB}" type="pres">
      <dgm:prSet presAssocID="{95643014-9364-4ED7-A23C-11FF87634454}" presName="hierChild4" presStyleCnt="0"/>
      <dgm:spPr/>
    </dgm:pt>
    <dgm:pt modelId="{63B2CD83-3EED-49DF-9C2A-8811739E8AEB}" type="pres">
      <dgm:prSet presAssocID="{95643014-9364-4ED7-A23C-11FF87634454}" presName="hierChild5" presStyleCnt="0"/>
      <dgm:spPr/>
    </dgm:pt>
    <dgm:pt modelId="{C44CFD28-FFE5-438C-8F93-2EBE2F7C0269}" type="pres">
      <dgm:prSet presAssocID="{9253C293-8A26-4831-8892-0E3BDAEC8E19}" presName="Name37" presStyleLbl="parChTrans1D4" presStyleIdx="2" presStyleCnt="37"/>
      <dgm:spPr/>
    </dgm:pt>
    <dgm:pt modelId="{16B5072B-CCA9-442F-8594-CF538AB1D353}" type="pres">
      <dgm:prSet presAssocID="{1A5678EE-7A74-4A34-A4D6-D8A58BB9F46D}" presName="hierRoot2" presStyleCnt="0">
        <dgm:presLayoutVars>
          <dgm:hierBranch val="init"/>
        </dgm:presLayoutVars>
      </dgm:prSet>
      <dgm:spPr/>
    </dgm:pt>
    <dgm:pt modelId="{FFE058B1-1D69-4A21-8A43-E67974480131}" type="pres">
      <dgm:prSet presAssocID="{1A5678EE-7A74-4A34-A4D6-D8A58BB9F46D}" presName="rootComposite" presStyleCnt="0"/>
      <dgm:spPr/>
    </dgm:pt>
    <dgm:pt modelId="{363B202D-7A87-4A6C-A1F0-102131836434}" type="pres">
      <dgm:prSet presAssocID="{1A5678EE-7A74-4A34-A4D6-D8A58BB9F46D}" presName="rootText" presStyleLbl="node4" presStyleIdx="2" presStyleCnt="37">
        <dgm:presLayoutVars>
          <dgm:chPref val="3"/>
        </dgm:presLayoutVars>
      </dgm:prSet>
      <dgm:spPr/>
    </dgm:pt>
    <dgm:pt modelId="{FA8E88D1-9BA4-418E-9D6B-2F599D184515}" type="pres">
      <dgm:prSet presAssocID="{1A5678EE-7A74-4A34-A4D6-D8A58BB9F46D}" presName="rootConnector" presStyleLbl="node4" presStyleIdx="2" presStyleCnt="37"/>
      <dgm:spPr/>
    </dgm:pt>
    <dgm:pt modelId="{7DC40ADF-AB57-4BB4-A38B-C9B7207B7AD7}" type="pres">
      <dgm:prSet presAssocID="{1A5678EE-7A74-4A34-A4D6-D8A58BB9F46D}" presName="hierChild4" presStyleCnt="0"/>
      <dgm:spPr/>
    </dgm:pt>
    <dgm:pt modelId="{D6F432D6-0D4D-494F-A2D2-C776D09F1EBE}" type="pres">
      <dgm:prSet presAssocID="{1A5678EE-7A74-4A34-A4D6-D8A58BB9F46D}" presName="hierChild5" presStyleCnt="0"/>
      <dgm:spPr/>
    </dgm:pt>
    <dgm:pt modelId="{E0C15DAE-9F91-4358-BE48-67C4ABDAC721}" type="pres">
      <dgm:prSet presAssocID="{86AF350A-A785-4BDD-9C13-1E90196942B4}" presName="hierChild5" presStyleCnt="0"/>
      <dgm:spPr/>
    </dgm:pt>
    <dgm:pt modelId="{4A876694-BF19-46DE-B452-875368411D68}" type="pres">
      <dgm:prSet presAssocID="{BAEA72A8-8E27-4CB3-95FF-B81D0605EC3A}" presName="Name37" presStyleLbl="parChTrans1D4" presStyleIdx="3" presStyleCnt="37"/>
      <dgm:spPr/>
    </dgm:pt>
    <dgm:pt modelId="{05C9EC62-304A-43DD-867E-D324223086B6}" type="pres">
      <dgm:prSet presAssocID="{E6A1700A-B079-47D8-9B65-891034C34C7F}" presName="hierRoot2" presStyleCnt="0">
        <dgm:presLayoutVars>
          <dgm:hierBranch val="init"/>
        </dgm:presLayoutVars>
      </dgm:prSet>
      <dgm:spPr/>
    </dgm:pt>
    <dgm:pt modelId="{DAB38518-1C2E-493B-8D57-AC7538A9E7AA}" type="pres">
      <dgm:prSet presAssocID="{E6A1700A-B079-47D8-9B65-891034C34C7F}" presName="rootComposite" presStyleCnt="0"/>
      <dgm:spPr/>
    </dgm:pt>
    <dgm:pt modelId="{E94B6404-BBAB-4537-B122-22EDBB8BA2BD}" type="pres">
      <dgm:prSet presAssocID="{E6A1700A-B079-47D8-9B65-891034C34C7F}" presName="rootText" presStyleLbl="node4" presStyleIdx="3" presStyleCnt="37">
        <dgm:presLayoutVars>
          <dgm:chPref val="3"/>
        </dgm:presLayoutVars>
      </dgm:prSet>
      <dgm:spPr/>
    </dgm:pt>
    <dgm:pt modelId="{DB324A68-A2D8-442A-BDD3-FA66FBB7CE83}" type="pres">
      <dgm:prSet presAssocID="{E6A1700A-B079-47D8-9B65-891034C34C7F}" presName="rootConnector" presStyleLbl="node4" presStyleIdx="3" presStyleCnt="37"/>
      <dgm:spPr/>
    </dgm:pt>
    <dgm:pt modelId="{A2883E15-7B9C-4FBB-934F-2E2701E141A0}" type="pres">
      <dgm:prSet presAssocID="{E6A1700A-B079-47D8-9B65-891034C34C7F}" presName="hierChild4" presStyleCnt="0"/>
      <dgm:spPr/>
    </dgm:pt>
    <dgm:pt modelId="{DB3C6AF8-9260-48CF-8FAB-42E9EE83897B}" type="pres">
      <dgm:prSet presAssocID="{E6A1700A-B079-47D8-9B65-891034C34C7F}" presName="hierChild5" presStyleCnt="0"/>
      <dgm:spPr/>
    </dgm:pt>
    <dgm:pt modelId="{BE0C7418-3F03-4510-9D56-21F5B3B1D031}" type="pres">
      <dgm:prSet presAssocID="{FBC1385E-8795-41FA-845C-EB5AF43C2B13}" presName="Name37" presStyleLbl="parChTrans1D4" presStyleIdx="4" presStyleCnt="37"/>
      <dgm:spPr/>
    </dgm:pt>
    <dgm:pt modelId="{9BD629C1-D3CE-43C5-A706-CE1C6E5EEE89}" type="pres">
      <dgm:prSet presAssocID="{51C79718-E650-4489-9A19-46CB6F3C5E64}" presName="hierRoot2" presStyleCnt="0">
        <dgm:presLayoutVars>
          <dgm:hierBranch val="init"/>
        </dgm:presLayoutVars>
      </dgm:prSet>
      <dgm:spPr/>
    </dgm:pt>
    <dgm:pt modelId="{4F42BF1E-703C-4B09-BD92-2E5E30DDBF07}" type="pres">
      <dgm:prSet presAssocID="{51C79718-E650-4489-9A19-46CB6F3C5E64}" presName="rootComposite" presStyleCnt="0"/>
      <dgm:spPr/>
    </dgm:pt>
    <dgm:pt modelId="{F5CC38DF-E659-4FDD-A0D2-126B51300B04}" type="pres">
      <dgm:prSet presAssocID="{51C79718-E650-4489-9A19-46CB6F3C5E64}" presName="rootText" presStyleLbl="node4" presStyleIdx="4" presStyleCnt="37">
        <dgm:presLayoutVars>
          <dgm:chPref val="3"/>
        </dgm:presLayoutVars>
      </dgm:prSet>
      <dgm:spPr/>
    </dgm:pt>
    <dgm:pt modelId="{B0923FD3-58F2-4640-BE40-C1D32CCA3D1F}" type="pres">
      <dgm:prSet presAssocID="{51C79718-E650-4489-9A19-46CB6F3C5E64}" presName="rootConnector" presStyleLbl="node4" presStyleIdx="4" presStyleCnt="37"/>
      <dgm:spPr/>
    </dgm:pt>
    <dgm:pt modelId="{3FCF9274-8E72-457A-82A6-CB2C8990D28D}" type="pres">
      <dgm:prSet presAssocID="{51C79718-E650-4489-9A19-46CB6F3C5E64}" presName="hierChild4" presStyleCnt="0"/>
      <dgm:spPr/>
    </dgm:pt>
    <dgm:pt modelId="{04F050AC-1F6F-45B1-8722-44F110766813}" type="pres">
      <dgm:prSet presAssocID="{FA73775F-96E3-4384-A1BB-0DDD667E453A}" presName="Name37" presStyleLbl="parChTrans1D4" presStyleIdx="5" presStyleCnt="37"/>
      <dgm:spPr/>
    </dgm:pt>
    <dgm:pt modelId="{EDA53825-A9E9-4A3D-BF46-896405E71B7E}" type="pres">
      <dgm:prSet presAssocID="{E62468E0-1FF4-4D1D-A9CA-0D68F9B02BD3}" presName="hierRoot2" presStyleCnt="0">
        <dgm:presLayoutVars>
          <dgm:hierBranch val="init"/>
        </dgm:presLayoutVars>
      </dgm:prSet>
      <dgm:spPr/>
    </dgm:pt>
    <dgm:pt modelId="{47F5B50C-E9F7-4DC5-8DAF-0670D1DD5583}" type="pres">
      <dgm:prSet presAssocID="{E62468E0-1FF4-4D1D-A9CA-0D68F9B02BD3}" presName="rootComposite" presStyleCnt="0"/>
      <dgm:spPr/>
    </dgm:pt>
    <dgm:pt modelId="{DB806BCD-2DF0-4DBB-BC15-66EC7A00C8F5}" type="pres">
      <dgm:prSet presAssocID="{E62468E0-1FF4-4D1D-A9CA-0D68F9B02BD3}" presName="rootText" presStyleLbl="node4" presStyleIdx="5" presStyleCnt="37">
        <dgm:presLayoutVars>
          <dgm:chPref val="3"/>
        </dgm:presLayoutVars>
      </dgm:prSet>
      <dgm:spPr/>
    </dgm:pt>
    <dgm:pt modelId="{4798A7CE-D6D1-450A-97B1-DD4712401C81}" type="pres">
      <dgm:prSet presAssocID="{E62468E0-1FF4-4D1D-A9CA-0D68F9B02BD3}" presName="rootConnector" presStyleLbl="node4" presStyleIdx="5" presStyleCnt="37"/>
      <dgm:spPr/>
    </dgm:pt>
    <dgm:pt modelId="{7DB1DC0D-7C4D-4ED8-8E04-CEC59325C063}" type="pres">
      <dgm:prSet presAssocID="{E62468E0-1FF4-4D1D-A9CA-0D68F9B02BD3}" presName="hierChild4" presStyleCnt="0"/>
      <dgm:spPr/>
    </dgm:pt>
    <dgm:pt modelId="{653CD207-D071-49E1-A91C-B14B6DDAE629}" type="pres">
      <dgm:prSet presAssocID="{E62468E0-1FF4-4D1D-A9CA-0D68F9B02BD3}" presName="hierChild5" presStyleCnt="0"/>
      <dgm:spPr/>
    </dgm:pt>
    <dgm:pt modelId="{B5EF46C0-70BE-4034-864E-D69B18AEFAD9}" type="pres">
      <dgm:prSet presAssocID="{51C79718-E650-4489-9A19-46CB6F3C5E64}" presName="hierChild5" presStyleCnt="0"/>
      <dgm:spPr/>
    </dgm:pt>
    <dgm:pt modelId="{0D8D0925-791C-426A-ACAC-067D0FABE35D}" type="pres">
      <dgm:prSet presAssocID="{97F38E1B-8B0A-4C1C-BB0E-8DC2824BBDEE}" presName="hierChild5" presStyleCnt="0"/>
      <dgm:spPr/>
    </dgm:pt>
    <dgm:pt modelId="{BFB1AE2C-4CAA-45D6-88D9-19562B32AFBA}" type="pres">
      <dgm:prSet presAssocID="{809B22AA-EB2B-4C4F-82C3-E979FD4CF357}" presName="hierChild5" presStyleCnt="0"/>
      <dgm:spPr/>
    </dgm:pt>
    <dgm:pt modelId="{6174CB22-B80C-481A-9612-5959C3B0B319}" type="pres">
      <dgm:prSet presAssocID="{0102E4FE-20A8-44CB-9044-37DB2019EEF7}" presName="hierChild3" presStyleCnt="0"/>
      <dgm:spPr/>
    </dgm:pt>
    <dgm:pt modelId="{B6F86005-D4FC-47D2-B42F-6EB5D7A99451}" type="pres">
      <dgm:prSet presAssocID="{4D29C077-1695-455C-9DAA-E15887E6F57B}" presName="hierRoot1" presStyleCnt="0">
        <dgm:presLayoutVars>
          <dgm:hierBranch val="init"/>
        </dgm:presLayoutVars>
      </dgm:prSet>
      <dgm:spPr/>
    </dgm:pt>
    <dgm:pt modelId="{F6DB3D71-2793-4485-A5BF-939E141DACB4}" type="pres">
      <dgm:prSet presAssocID="{4D29C077-1695-455C-9DAA-E15887E6F57B}" presName="rootComposite1" presStyleCnt="0"/>
      <dgm:spPr/>
    </dgm:pt>
    <dgm:pt modelId="{6082EBD5-5DD1-46CB-B838-582F04F3CF74}" type="pres">
      <dgm:prSet presAssocID="{4D29C077-1695-455C-9DAA-E15887E6F57B}" presName="rootText1" presStyleLbl="node0" presStyleIdx="1" presStyleCnt="3" custScaleX="159650">
        <dgm:presLayoutVars>
          <dgm:chPref val="3"/>
        </dgm:presLayoutVars>
      </dgm:prSet>
      <dgm:spPr/>
    </dgm:pt>
    <dgm:pt modelId="{7174D915-6D07-40F6-B8ED-C21AE65ACBC3}" type="pres">
      <dgm:prSet presAssocID="{4D29C077-1695-455C-9DAA-E15887E6F57B}" presName="rootConnector1" presStyleLbl="node1" presStyleIdx="0" presStyleCnt="0"/>
      <dgm:spPr/>
    </dgm:pt>
    <dgm:pt modelId="{949FB98A-A2F7-4333-A738-890744047262}" type="pres">
      <dgm:prSet presAssocID="{4D29C077-1695-455C-9DAA-E15887E6F57B}" presName="hierChild2" presStyleCnt="0"/>
      <dgm:spPr/>
    </dgm:pt>
    <dgm:pt modelId="{A398FD51-39BC-43D7-A728-219B46F9D927}" type="pres">
      <dgm:prSet presAssocID="{F488A61D-44A8-43AF-8D4D-9D3A28823A7B}" presName="Name37" presStyleLbl="parChTrans1D2" presStyleIdx="2" presStyleCnt="11"/>
      <dgm:spPr/>
    </dgm:pt>
    <dgm:pt modelId="{D388D210-8658-4BCF-9993-5DFAE2AEDAF4}" type="pres">
      <dgm:prSet presAssocID="{4EDFDD96-7D03-4644-B893-2DE9B7516A86}" presName="hierRoot2" presStyleCnt="0">
        <dgm:presLayoutVars>
          <dgm:hierBranch val="init"/>
        </dgm:presLayoutVars>
      </dgm:prSet>
      <dgm:spPr/>
    </dgm:pt>
    <dgm:pt modelId="{E8B3C600-9261-4D13-A463-9B1DF14F3B7C}" type="pres">
      <dgm:prSet presAssocID="{4EDFDD96-7D03-4644-B893-2DE9B7516A86}" presName="rootComposite" presStyleCnt="0"/>
      <dgm:spPr/>
    </dgm:pt>
    <dgm:pt modelId="{B88F1C60-EBDC-4C39-9D4A-43DE9407F41A}" type="pres">
      <dgm:prSet presAssocID="{4EDFDD96-7D03-4644-B893-2DE9B7516A86}" presName="rootText" presStyleLbl="node2" presStyleIdx="2" presStyleCnt="11">
        <dgm:presLayoutVars>
          <dgm:chPref val="3"/>
        </dgm:presLayoutVars>
      </dgm:prSet>
      <dgm:spPr/>
    </dgm:pt>
    <dgm:pt modelId="{A0353E5E-7D45-48CA-B881-311DA07E6089}" type="pres">
      <dgm:prSet presAssocID="{4EDFDD96-7D03-4644-B893-2DE9B7516A86}" presName="rootConnector" presStyleLbl="node2" presStyleIdx="2" presStyleCnt="11"/>
      <dgm:spPr/>
    </dgm:pt>
    <dgm:pt modelId="{12F00074-AEF9-46BA-8874-4D40C4851D2D}" type="pres">
      <dgm:prSet presAssocID="{4EDFDD96-7D03-4644-B893-2DE9B7516A86}" presName="hierChild4" presStyleCnt="0"/>
      <dgm:spPr/>
    </dgm:pt>
    <dgm:pt modelId="{04AE9728-3D57-4121-9006-9C7431474EE4}" type="pres">
      <dgm:prSet presAssocID="{B3501234-EF80-4869-A279-C89BC86861D2}" presName="Name37" presStyleLbl="parChTrans1D3" presStyleIdx="5" presStyleCnt="33"/>
      <dgm:spPr/>
    </dgm:pt>
    <dgm:pt modelId="{C1CFE081-FABD-4600-9711-66E0178C2B03}" type="pres">
      <dgm:prSet presAssocID="{E2EC6A85-58E6-4744-B75D-3324C60D8EE8}" presName="hierRoot2" presStyleCnt="0">
        <dgm:presLayoutVars>
          <dgm:hierBranch val="init"/>
        </dgm:presLayoutVars>
      </dgm:prSet>
      <dgm:spPr/>
    </dgm:pt>
    <dgm:pt modelId="{C52A4F4A-F144-4BF6-9625-EC64234EA416}" type="pres">
      <dgm:prSet presAssocID="{E2EC6A85-58E6-4744-B75D-3324C60D8EE8}" presName="rootComposite" presStyleCnt="0"/>
      <dgm:spPr/>
    </dgm:pt>
    <dgm:pt modelId="{AABF7258-3A68-4C50-8C9F-5B0A348FD5D4}" type="pres">
      <dgm:prSet presAssocID="{E2EC6A85-58E6-4744-B75D-3324C60D8EE8}" presName="rootText" presStyleLbl="node3" presStyleIdx="5" presStyleCnt="33">
        <dgm:presLayoutVars>
          <dgm:chPref val="3"/>
        </dgm:presLayoutVars>
      </dgm:prSet>
      <dgm:spPr/>
    </dgm:pt>
    <dgm:pt modelId="{BD1712F7-DABF-48A5-A284-5D7C0E707A8B}" type="pres">
      <dgm:prSet presAssocID="{E2EC6A85-58E6-4744-B75D-3324C60D8EE8}" presName="rootConnector" presStyleLbl="node3" presStyleIdx="5" presStyleCnt="33"/>
      <dgm:spPr/>
    </dgm:pt>
    <dgm:pt modelId="{EC136918-3084-4149-95FA-8D05C833F43E}" type="pres">
      <dgm:prSet presAssocID="{E2EC6A85-58E6-4744-B75D-3324C60D8EE8}" presName="hierChild4" presStyleCnt="0"/>
      <dgm:spPr/>
    </dgm:pt>
    <dgm:pt modelId="{2AFDDC81-5593-484F-9E35-BB14230C4647}" type="pres">
      <dgm:prSet presAssocID="{E2EC6A85-58E6-4744-B75D-3324C60D8EE8}" presName="hierChild5" presStyleCnt="0"/>
      <dgm:spPr/>
    </dgm:pt>
    <dgm:pt modelId="{66858752-8592-4427-9C05-544B0C2DA08B}" type="pres">
      <dgm:prSet presAssocID="{622DEC80-7D3B-489F-A688-386A3BD66E46}" presName="Name37" presStyleLbl="parChTrans1D3" presStyleIdx="6" presStyleCnt="33"/>
      <dgm:spPr/>
    </dgm:pt>
    <dgm:pt modelId="{57998C1E-E73C-4838-94A6-956C33718A8E}" type="pres">
      <dgm:prSet presAssocID="{69233474-9CCA-431F-ADB6-8A9AC33B9697}" presName="hierRoot2" presStyleCnt="0">
        <dgm:presLayoutVars>
          <dgm:hierBranch val="init"/>
        </dgm:presLayoutVars>
      </dgm:prSet>
      <dgm:spPr/>
    </dgm:pt>
    <dgm:pt modelId="{BE21FCE5-7182-43AB-9874-368B5E6B3EEF}" type="pres">
      <dgm:prSet presAssocID="{69233474-9CCA-431F-ADB6-8A9AC33B9697}" presName="rootComposite" presStyleCnt="0"/>
      <dgm:spPr/>
    </dgm:pt>
    <dgm:pt modelId="{04EFE57A-346A-4D7D-BE14-72E0464E83A8}" type="pres">
      <dgm:prSet presAssocID="{69233474-9CCA-431F-ADB6-8A9AC33B9697}" presName="rootText" presStyleLbl="node3" presStyleIdx="6" presStyleCnt="33">
        <dgm:presLayoutVars>
          <dgm:chPref val="3"/>
        </dgm:presLayoutVars>
      </dgm:prSet>
      <dgm:spPr/>
    </dgm:pt>
    <dgm:pt modelId="{18BE81A4-BE49-4CE9-B4C0-7842AF0A6834}" type="pres">
      <dgm:prSet presAssocID="{69233474-9CCA-431F-ADB6-8A9AC33B9697}" presName="rootConnector" presStyleLbl="node3" presStyleIdx="6" presStyleCnt="33"/>
      <dgm:spPr/>
    </dgm:pt>
    <dgm:pt modelId="{D36903B5-10D5-49B3-A7E7-B6657558155E}" type="pres">
      <dgm:prSet presAssocID="{69233474-9CCA-431F-ADB6-8A9AC33B9697}" presName="hierChild4" presStyleCnt="0"/>
      <dgm:spPr/>
    </dgm:pt>
    <dgm:pt modelId="{7F2AE1F5-228E-4396-AF81-0EB378D7A440}" type="pres">
      <dgm:prSet presAssocID="{69233474-9CCA-431F-ADB6-8A9AC33B9697}" presName="hierChild5" presStyleCnt="0"/>
      <dgm:spPr/>
    </dgm:pt>
    <dgm:pt modelId="{18E34EE4-86C8-4825-8C89-7F8622C591A5}" type="pres">
      <dgm:prSet presAssocID="{90C11742-7AB7-4673-9EB2-8F639E1AB031}" presName="Name37" presStyleLbl="parChTrans1D3" presStyleIdx="7" presStyleCnt="33"/>
      <dgm:spPr/>
    </dgm:pt>
    <dgm:pt modelId="{361DEE8E-C89D-4453-BCF9-01D2F249B5AF}" type="pres">
      <dgm:prSet presAssocID="{BC5B252E-CFEA-432E-A23C-820CF26C7CFC}" presName="hierRoot2" presStyleCnt="0">
        <dgm:presLayoutVars>
          <dgm:hierBranch val="init"/>
        </dgm:presLayoutVars>
      </dgm:prSet>
      <dgm:spPr/>
    </dgm:pt>
    <dgm:pt modelId="{1983C487-DBEB-4D76-A478-DA36E94CCB35}" type="pres">
      <dgm:prSet presAssocID="{BC5B252E-CFEA-432E-A23C-820CF26C7CFC}" presName="rootComposite" presStyleCnt="0"/>
      <dgm:spPr/>
    </dgm:pt>
    <dgm:pt modelId="{F4ABF537-7FFD-4B3A-BD7F-F92CAA13DFB1}" type="pres">
      <dgm:prSet presAssocID="{BC5B252E-CFEA-432E-A23C-820CF26C7CFC}" presName="rootText" presStyleLbl="node3" presStyleIdx="7" presStyleCnt="33">
        <dgm:presLayoutVars>
          <dgm:chPref val="3"/>
        </dgm:presLayoutVars>
      </dgm:prSet>
      <dgm:spPr/>
    </dgm:pt>
    <dgm:pt modelId="{CE483592-D29F-41AA-97C5-9F0173288586}" type="pres">
      <dgm:prSet presAssocID="{BC5B252E-CFEA-432E-A23C-820CF26C7CFC}" presName="rootConnector" presStyleLbl="node3" presStyleIdx="7" presStyleCnt="33"/>
      <dgm:spPr/>
    </dgm:pt>
    <dgm:pt modelId="{EF156167-F168-4308-9EBC-191D06496346}" type="pres">
      <dgm:prSet presAssocID="{BC5B252E-CFEA-432E-A23C-820CF26C7CFC}" presName="hierChild4" presStyleCnt="0"/>
      <dgm:spPr/>
    </dgm:pt>
    <dgm:pt modelId="{769065E5-E348-4D5B-A9D2-8BCAF1F09719}" type="pres">
      <dgm:prSet presAssocID="{BC5B252E-CFEA-432E-A23C-820CF26C7CFC}" presName="hierChild5" presStyleCnt="0"/>
      <dgm:spPr/>
    </dgm:pt>
    <dgm:pt modelId="{EE02CA1F-09C8-4581-9726-5D987B155C40}" type="pres">
      <dgm:prSet presAssocID="{38E2739B-73BB-4928-87AA-26706E9E2406}" presName="Name37" presStyleLbl="parChTrans1D3" presStyleIdx="8" presStyleCnt="33"/>
      <dgm:spPr/>
    </dgm:pt>
    <dgm:pt modelId="{875C19D9-5632-4CA0-974A-B7B61A71F12B}" type="pres">
      <dgm:prSet presAssocID="{C5CC5A86-BAF4-4043-A05F-3690D26C1FF0}" presName="hierRoot2" presStyleCnt="0">
        <dgm:presLayoutVars>
          <dgm:hierBranch val="init"/>
        </dgm:presLayoutVars>
      </dgm:prSet>
      <dgm:spPr/>
    </dgm:pt>
    <dgm:pt modelId="{3FE18FE8-A5FF-4AC8-83B2-7FC274A8F884}" type="pres">
      <dgm:prSet presAssocID="{C5CC5A86-BAF4-4043-A05F-3690D26C1FF0}" presName="rootComposite" presStyleCnt="0"/>
      <dgm:spPr/>
    </dgm:pt>
    <dgm:pt modelId="{25C26CDE-E9C1-45BC-A0A7-BEEA4DD15101}" type="pres">
      <dgm:prSet presAssocID="{C5CC5A86-BAF4-4043-A05F-3690D26C1FF0}" presName="rootText" presStyleLbl="node3" presStyleIdx="8" presStyleCnt="33">
        <dgm:presLayoutVars>
          <dgm:chPref val="3"/>
        </dgm:presLayoutVars>
      </dgm:prSet>
      <dgm:spPr/>
    </dgm:pt>
    <dgm:pt modelId="{3BC04BD4-22C7-4778-864E-AA91407FC17F}" type="pres">
      <dgm:prSet presAssocID="{C5CC5A86-BAF4-4043-A05F-3690D26C1FF0}" presName="rootConnector" presStyleLbl="node3" presStyleIdx="8" presStyleCnt="33"/>
      <dgm:spPr/>
    </dgm:pt>
    <dgm:pt modelId="{C4DBBE7D-CAE3-487F-A449-BC57D7E0454E}" type="pres">
      <dgm:prSet presAssocID="{C5CC5A86-BAF4-4043-A05F-3690D26C1FF0}" presName="hierChild4" presStyleCnt="0"/>
      <dgm:spPr/>
    </dgm:pt>
    <dgm:pt modelId="{52A90FA3-215A-494C-BE9A-8AD533C1A9F2}" type="pres">
      <dgm:prSet presAssocID="{C5CC5A86-BAF4-4043-A05F-3690D26C1FF0}" presName="hierChild5" presStyleCnt="0"/>
      <dgm:spPr/>
    </dgm:pt>
    <dgm:pt modelId="{715F25C9-0BCA-4F61-8868-0CD70280B119}" type="pres">
      <dgm:prSet presAssocID="{4EDFDD96-7D03-4644-B893-2DE9B7516A86}" presName="hierChild5" presStyleCnt="0"/>
      <dgm:spPr/>
    </dgm:pt>
    <dgm:pt modelId="{FDD155F9-F696-4A47-89DA-2C64DF50A969}" type="pres">
      <dgm:prSet presAssocID="{16CD9583-BD21-4156-92D6-71CDB340D1AD}" presName="Name37" presStyleLbl="parChTrans1D2" presStyleIdx="3" presStyleCnt="11"/>
      <dgm:spPr/>
    </dgm:pt>
    <dgm:pt modelId="{7DF9EE6B-DC1B-4D1E-B5E1-A830070E99F9}" type="pres">
      <dgm:prSet presAssocID="{141B889D-94F1-45C1-B73E-13B1197CCCF8}" presName="hierRoot2" presStyleCnt="0">
        <dgm:presLayoutVars>
          <dgm:hierBranch val="init"/>
        </dgm:presLayoutVars>
      </dgm:prSet>
      <dgm:spPr/>
    </dgm:pt>
    <dgm:pt modelId="{FD600C5B-1F57-4A62-A9B9-30569263C6BA}" type="pres">
      <dgm:prSet presAssocID="{141B889D-94F1-45C1-B73E-13B1197CCCF8}" presName="rootComposite" presStyleCnt="0"/>
      <dgm:spPr/>
    </dgm:pt>
    <dgm:pt modelId="{482DCAEA-9419-4B13-B1A6-ADB76B84C176}" type="pres">
      <dgm:prSet presAssocID="{141B889D-94F1-45C1-B73E-13B1197CCCF8}" presName="rootText" presStyleLbl="node2" presStyleIdx="3" presStyleCnt="11">
        <dgm:presLayoutVars>
          <dgm:chPref val="3"/>
        </dgm:presLayoutVars>
      </dgm:prSet>
      <dgm:spPr/>
    </dgm:pt>
    <dgm:pt modelId="{4EE2E31F-AE9E-4FC4-B938-DD1CA40DE03F}" type="pres">
      <dgm:prSet presAssocID="{141B889D-94F1-45C1-B73E-13B1197CCCF8}" presName="rootConnector" presStyleLbl="node2" presStyleIdx="3" presStyleCnt="11"/>
      <dgm:spPr/>
    </dgm:pt>
    <dgm:pt modelId="{A4B6FBE7-B701-4B67-802A-93431785FAE9}" type="pres">
      <dgm:prSet presAssocID="{141B889D-94F1-45C1-B73E-13B1197CCCF8}" presName="hierChild4" presStyleCnt="0"/>
      <dgm:spPr/>
    </dgm:pt>
    <dgm:pt modelId="{64746DDA-9BA4-4D4A-9F19-3F81A809CA82}" type="pres">
      <dgm:prSet presAssocID="{3D8434B0-DEC5-4689-B419-C2351767EFE8}" presName="Name37" presStyleLbl="parChTrans1D3" presStyleIdx="9" presStyleCnt="33"/>
      <dgm:spPr/>
    </dgm:pt>
    <dgm:pt modelId="{54F4AA3D-C201-49E5-B22E-9405A3600C6E}" type="pres">
      <dgm:prSet presAssocID="{0AE7F9E1-765F-489C-8C16-C7BC49A797D9}" presName="hierRoot2" presStyleCnt="0">
        <dgm:presLayoutVars>
          <dgm:hierBranch val="init"/>
        </dgm:presLayoutVars>
      </dgm:prSet>
      <dgm:spPr/>
    </dgm:pt>
    <dgm:pt modelId="{51E114B8-193B-42A4-8986-9418C233A327}" type="pres">
      <dgm:prSet presAssocID="{0AE7F9E1-765F-489C-8C16-C7BC49A797D9}" presName="rootComposite" presStyleCnt="0"/>
      <dgm:spPr/>
    </dgm:pt>
    <dgm:pt modelId="{7CB1A8DA-E4D9-48D5-946D-7D655D00310B}" type="pres">
      <dgm:prSet presAssocID="{0AE7F9E1-765F-489C-8C16-C7BC49A797D9}" presName="rootText" presStyleLbl="node3" presStyleIdx="9" presStyleCnt="33">
        <dgm:presLayoutVars>
          <dgm:chPref val="3"/>
        </dgm:presLayoutVars>
      </dgm:prSet>
      <dgm:spPr/>
    </dgm:pt>
    <dgm:pt modelId="{9C8A86D7-C706-4FB6-A092-1CB6C0E1A12B}" type="pres">
      <dgm:prSet presAssocID="{0AE7F9E1-765F-489C-8C16-C7BC49A797D9}" presName="rootConnector" presStyleLbl="node3" presStyleIdx="9" presStyleCnt="33"/>
      <dgm:spPr/>
    </dgm:pt>
    <dgm:pt modelId="{AAA96A9F-16D2-478B-819E-71D1FEB627F6}" type="pres">
      <dgm:prSet presAssocID="{0AE7F9E1-765F-489C-8C16-C7BC49A797D9}" presName="hierChild4" presStyleCnt="0"/>
      <dgm:spPr/>
    </dgm:pt>
    <dgm:pt modelId="{8800D219-A381-4FF4-8279-F406E29AD4C1}" type="pres">
      <dgm:prSet presAssocID="{0AE7F9E1-765F-489C-8C16-C7BC49A797D9}" presName="hierChild5" presStyleCnt="0"/>
      <dgm:spPr/>
    </dgm:pt>
    <dgm:pt modelId="{E9747454-1A04-4415-9946-2C8D25D72AF6}" type="pres">
      <dgm:prSet presAssocID="{88490267-DE7E-43ED-9BD4-B69E754A61AF}" presName="Name37" presStyleLbl="parChTrans1D3" presStyleIdx="10" presStyleCnt="33"/>
      <dgm:spPr/>
    </dgm:pt>
    <dgm:pt modelId="{1F1545EE-7171-4AEA-88FF-78066DC8A099}" type="pres">
      <dgm:prSet presAssocID="{1FA32465-79CA-43E4-925C-FD9E6E9DB5C8}" presName="hierRoot2" presStyleCnt="0">
        <dgm:presLayoutVars>
          <dgm:hierBranch val="init"/>
        </dgm:presLayoutVars>
      </dgm:prSet>
      <dgm:spPr/>
    </dgm:pt>
    <dgm:pt modelId="{83A33904-647F-4169-98EB-C998540B642C}" type="pres">
      <dgm:prSet presAssocID="{1FA32465-79CA-43E4-925C-FD9E6E9DB5C8}" presName="rootComposite" presStyleCnt="0"/>
      <dgm:spPr/>
    </dgm:pt>
    <dgm:pt modelId="{787D7592-C060-46FE-841C-899376B07F82}" type="pres">
      <dgm:prSet presAssocID="{1FA32465-79CA-43E4-925C-FD9E6E9DB5C8}" presName="rootText" presStyleLbl="node3" presStyleIdx="10" presStyleCnt="33">
        <dgm:presLayoutVars>
          <dgm:chPref val="3"/>
        </dgm:presLayoutVars>
      </dgm:prSet>
      <dgm:spPr/>
    </dgm:pt>
    <dgm:pt modelId="{7AB58FFB-A548-4EF5-A6EB-D2199C1AC0A9}" type="pres">
      <dgm:prSet presAssocID="{1FA32465-79CA-43E4-925C-FD9E6E9DB5C8}" presName="rootConnector" presStyleLbl="node3" presStyleIdx="10" presStyleCnt="33"/>
      <dgm:spPr/>
    </dgm:pt>
    <dgm:pt modelId="{5DD94581-BBE4-4B66-878B-8040300FF7D3}" type="pres">
      <dgm:prSet presAssocID="{1FA32465-79CA-43E4-925C-FD9E6E9DB5C8}" presName="hierChild4" presStyleCnt="0"/>
      <dgm:spPr/>
    </dgm:pt>
    <dgm:pt modelId="{5A43AF81-389F-4D2E-BAC7-8EAFF8E64919}" type="pres">
      <dgm:prSet presAssocID="{1FA32465-79CA-43E4-925C-FD9E6E9DB5C8}" presName="hierChild5" presStyleCnt="0"/>
      <dgm:spPr/>
    </dgm:pt>
    <dgm:pt modelId="{C543158D-3980-430D-A384-76D44B8D96C4}" type="pres">
      <dgm:prSet presAssocID="{8CED2796-06CC-4879-8898-DC3B6031BADC}" presName="Name37" presStyleLbl="parChTrans1D3" presStyleIdx="11" presStyleCnt="33"/>
      <dgm:spPr/>
    </dgm:pt>
    <dgm:pt modelId="{2B7B94DF-FDFC-4572-9D6C-9753CDC0B29B}" type="pres">
      <dgm:prSet presAssocID="{9DD1E46F-B70E-477E-9BFB-696199DB6F2F}" presName="hierRoot2" presStyleCnt="0">
        <dgm:presLayoutVars>
          <dgm:hierBranch val="init"/>
        </dgm:presLayoutVars>
      </dgm:prSet>
      <dgm:spPr/>
    </dgm:pt>
    <dgm:pt modelId="{6F82B5BA-4DBE-4827-9AEF-5312A75E6CFC}" type="pres">
      <dgm:prSet presAssocID="{9DD1E46F-B70E-477E-9BFB-696199DB6F2F}" presName="rootComposite" presStyleCnt="0"/>
      <dgm:spPr/>
    </dgm:pt>
    <dgm:pt modelId="{5D4275E7-1DDD-4041-B6A5-4A2D33BED9F0}" type="pres">
      <dgm:prSet presAssocID="{9DD1E46F-B70E-477E-9BFB-696199DB6F2F}" presName="rootText" presStyleLbl="node3" presStyleIdx="11" presStyleCnt="33">
        <dgm:presLayoutVars>
          <dgm:chPref val="3"/>
        </dgm:presLayoutVars>
      </dgm:prSet>
      <dgm:spPr/>
    </dgm:pt>
    <dgm:pt modelId="{A44E655F-FD1D-463B-8517-9098360FB7F0}" type="pres">
      <dgm:prSet presAssocID="{9DD1E46F-B70E-477E-9BFB-696199DB6F2F}" presName="rootConnector" presStyleLbl="node3" presStyleIdx="11" presStyleCnt="33"/>
      <dgm:spPr/>
    </dgm:pt>
    <dgm:pt modelId="{F3993530-BC9F-49E5-9890-51E9D259584F}" type="pres">
      <dgm:prSet presAssocID="{9DD1E46F-B70E-477E-9BFB-696199DB6F2F}" presName="hierChild4" presStyleCnt="0"/>
      <dgm:spPr/>
    </dgm:pt>
    <dgm:pt modelId="{FBF67B06-A80B-475A-BA63-FE0A0E26E3E9}" type="pres">
      <dgm:prSet presAssocID="{9DD1E46F-B70E-477E-9BFB-696199DB6F2F}" presName="hierChild5" presStyleCnt="0"/>
      <dgm:spPr/>
    </dgm:pt>
    <dgm:pt modelId="{7743E56D-4762-448A-9A91-6899766FF59C}" type="pres">
      <dgm:prSet presAssocID="{CF53B9B7-FAB3-48F2-A65F-2D9954BDE9C7}" presName="Name37" presStyleLbl="parChTrans1D3" presStyleIdx="12" presStyleCnt="33"/>
      <dgm:spPr/>
    </dgm:pt>
    <dgm:pt modelId="{E0A08645-8C31-4F88-80D5-0409A3504F30}" type="pres">
      <dgm:prSet presAssocID="{73F14857-60B0-4E0A-A5A6-05DD1561DBD7}" presName="hierRoot2" presStyleCnt="0">
        <dgm:presLayoutVars>
          <dgm:hierBranch val="init"/>
        </dgm:presLayoutVars>
      </dgm:prSet>
      <dgm:spPr/>
    </dgm:pt>
    <dgm:pt modelId="{F03AA302-1F5E-495A-8CB8-1F02247CC231}" type="pres">
      <dgm:prSet presAssocID="{73F14857-60B0-4E0A-A5A6-05DD1561DBD7}" presName="rootComposite" presStyleCnt="0"/>
      <dgm:spPr/>
    </dgm:pt>
    <dgm:pt modelId="{08D5027A-98A2-41D9-A25B-D422A483B3D4}" type="pres">
      <dgm:prSet presAssocID="{73F14857-60B0-4E0A-A5A6-05DD1561DBD7}" presName="rootText" presStyleLbl="node3" presStyleIdx="12" presStyleCnt="33">
        <dgm:presLayoutVars>
          <dgm:chPref val="3"/>
        </dgm:presLayoutVars>
      </dgm:prSet>
      <dgm:spPr/>
    </dgm:pt>
    <dgm:pt modelId="{B2297A3C-7A3E-4EED-AC93-8288E10660BB}" type="pres">
      <dgm:prSet presAssocID="{73F14857-60B0-4E0A-A5A6-05DD1561DBD7}" presName="rootConnector" presStyleLbl="node3" presStyleIdx="12" presStyleCnt="33"/>
      <dgm:spPr/>
    </dgm:pt>
    <dgm:pt modelId="{FC76CAA7-CDFF-48B4-AB30-4F25F313BF80}" type="pres">
      <dgm:prSet presAssocID="{73F14857-60B0-4E0A-A5A6-05DD1561DBD7}" presName="hierChild4" presStyleCnt="0"/>
      <dgm:spPr/>
    </dgm:pt>
    <dgm:pt modelId="{CA3E8B5E-A989-4483-B86C-4C15473254DB}" type="pres">
      <dgm:prSet presAssocID="{73F14857-60B0-4E0A-A5A6-05DD1561DBD7}" presName="hierChild5" presStyleCnt="0"/>
      <dgm:spPr/>
    </dgm:pt>
    <dgm:pt modelId="{9BFD407E-5EDA-460E-AAD4-3EBE4933CE11}" type="pres">
      <dgm:prSet presAssocID="{141B889D-94F1-45C1-B73E-13B1197CCCF8}" presName="hierChild5" presStyleCnt="0"/>
      <dgm:spPr/>
    </dgm:pt>
    <dgm:pt modelId="{910ECDEE-9DC9-4C67-B44B-E82FE5130F1D}" type="pres">
      <dgm:prSet presAssocID="{C025D0B3-3453-4AB2-8C0D-9A93251A872D}" presName="Name37" presStyleLbl="parChTrans1D2" presStyleIdx="4" presStyleCnt="11"/>
      <dgm:spPr/>
    </dgm:pt>
    <dgm:pt modelId="{AA85D489-C231-4A0D-8B92-77E1D1F56290}" type="pres">
      <dgm:prSet presAssocID="{0E0D5914-9733-4438-B53B-E54AED87BD25}" presName="hierRoot2" presStyleCnt="0">
        <dgm:presLayoutVars>
          <dgm:hierBranch val="init"/>
        </dgm:presLayoutVars>
      </dgm:prSet>
      <dgm:spPr/>
    </dgm:pt>
    <dgm:pt modelId="{EF2D88E2-87BD-433C-B657-5FC2747740CC}" type="pres">
      <dgm:prSet presAssocID="{0E0D5914-9733-4438-B53B-E54AED87BD25}" presName="rootComposite" presStyleCnt="0"/>
      <dgm:spPr/>
    </dgm:pt>
    <dgm:pt modelId="{9F74C05D-795A-4A6D-AD9B-BCB516320ABF}" type="pres">
      <dgm:prSet presAssocID="{0E0D5914-9733-4438-B53B-E54AED87BD25}" presName="rootText" presStyleLbl="node2" presStyleIdx="4" presStyleCnt="11" custScaleX="200460">
        <dgm:presLayoutVars>
          <dgm:chPref val="3"/>
        </dgm:presLayoutVars>
      </dgm:prSet>
      <dgm:spPr/>
    </dgm:pt>
    <dgm:pt modelId="{C6A957E2-D503-47A7-8CDB-C7577A0BA2AE}" type="pres">
      <dgm:prSet presAssocID="{0E0D5914-9733-4438-B53B-E54AED87BD25}" presName="rootConnector" presStyleLbl="node2" presStyleIdx="4" presStyleCnt="11"/>
      <dgm:spPr/>
    </dgm:pt>
    <dgm:pt modelId="{7BCAD00A-0C0F-4A55-9D8B-A60D9628A284}" type="pres">
      <dgm:prSet presAssocID="{0E0D5914-9733-4438-B53B-E54AED87BD25}" presName="hierChild4" presStyleCnt="0"/>
      <dgm:spPr/>
    </dgm:pt>
    <dgm:pt modelId="{778FE6CB-7FF8-4CEE-AD55-7C741090AFFD}" type="pres">
      <dgm:prSet presAssocID="{8069AF01-BDAC-4439-9E0A-EA0793CC3F91}" presName="Name37" presStyleLbl="parChTrans1D3" presStyleIdx="13" presStyleCnt="33"/>
      <dgm:spPr/>
    </dgm:pt>
    <dgm:pt modelId="{DE4682E4-398E-458C-B52C-EDC03D2B0822}" type="pres">
      <dgm:prSet presAssocID="{D9DCBD92-CF2D-4FA3-9650-A94983E94475}" presName="hierRoot2" presStyleCnt="0">
        <dgm:presLayoutVars>
          <dgm:hierBranch val="init"/>
        </dgm:presLayoutVars>
      </dgm:prSet>
      <dgm:spPr/>
    </dgm:pt>
    <dgm:pt modelId="{FCDC1399-D1B1-48AC-96B2-D2FDB35CA4F3}" type="pres">
      <dgm:prSet presAssocID="{D9DCBD92-CF2D-4FA3-9650-A94983E94475}" presName="rootComposite" presStyleCnt="0"/>
      <dgm:spPr/>
    </dgm:pt>
    <dgm:pt modelId="{B14D279A-2EE9-4C38-BB08-E3A848A174A9}" type="pres">
      <dgm:prSet presAssocID="{D9DCBD92-CF2D-4FA3-9650-A94983E94475}" presName="rootText" presStyleLbl="node3" presStyleIdx="13" presStyleCnt="33">
        <dgm:presLayoutVars>
          <dgm:chPref val="3"/>
        </dgm:presLayoutVars>
      </dgm:prSet>
      <dgm:spPr/>
    </dgm:pt>
    <dgm:pt modelId="{65C637A1-AD69-4342-9991-7D100AE66DCA}" type="pres">
      <dgm:prSet presAssocID="{D9DCBD92-CF2D-4FA3-9650-A94983E94475}" presName="rootConnector" presStyleLbl="node3" presStyleIdx="13" presStyleCnt="33"/>
      <dgm:spPr/>
    </dgm:pt>
    <dgm:pt modelId="{137D390C-81B8-4F20-B7FE-7FC23FDC4C36}" type="pres">
      <dgm:prSet presAssocID="{D9DCBD92-CF2D-4FA3-9650-A94983E94475}" presName="hierChild4" presStyleCnt="0"/>
      <dgm:spPr/>
    </dgm:pt>
    <dgm:pt modelId="{AF44E3AC-B687-4347-9359-A5919C90BF24}" type="pres">
      <dgm:prSet presAssocID="{C45B11D6-E688-469D-B37A-64BDB4F13BD1}" presName="Name37" presStyleLbl="parChTrans1D4" presStyleIdx="6" presStyleCnt="37"/>
      <dgm:spPr/>
    </dgm:pt>
    <dgm:pt modelId="{D09C545F-267F-49DF-A1A9-370E89B9462F}" type="pres">
      <dgm:prSet presAssocID="{C5F5B592-B7BB-47AA-9A5B-E0F4DC1378F7}" presName="hierRoot2" presStyleCnt="0">
        <dgm:presLayoutVars>
          <dgm:hierBranch val="init"/>
        </dgm:presLayoutVars>
      </dgm:prSet>
      <dgm:spPr/>
    </dgm:pt>
    <dgm:pt modelId="{869B8FFE-BCA3-487C-97DC-D7D8691B7373}" type="pres">
      <dgm:prSet presAssocID="{C5F5B592-B7BB-47AA-9A5B-E0F4DC1378F7}" presName="rootComposite" presStyleCnt="0"/>
      <dgm:spPr/>
    </dgm:pt>
    <dgm:pt modelId="{99384343-58C1-49C5-BF73-F6B5C76CF037}" type="pres">
      <dgm:prSet presAssocID="{C5F5B592-B7BB-47AA-9A5B-E0F4DC1378F7}" presName="rootText" presStyleLbl="node4" presStyleIdx="6" presStyleCnt="37">
        <dgm:presLayoutVars>
          <dgm:chPref val="3"/>
        </dgm:presLayoutVars>
      </dgm:prSet>
      <dgm:spPr/>
    </dgm:pt>
    <dgm:pt modelId="{EE60031E-25B9-4107-A7D1-12F328DB4F2B}" type="pres">
      <dgm:prSet presAssocID="{C5F5B592-B7BB-47AA-9A5B-E0F4DC1378F7}" presName="rootConnector" presStyleLbl="node4" presStyleIdx="6" presStyleCnt="37"/>
      <dgm:spPr/>
    </dgm:pt>
    <dgm:pt modelId="{0026D26D-03B6-4970-8EC4-74D45836CF44}" type="pres">
      <dgm:prSet presAssocID="{C5F5B592-B7BB-47AA-9A5B-E0F4DC1378F7}" presName="hierChild4" presStyleCnt="0"/>
      <dgm:spPr/>
    </dgm:pt>
    <dgm:pt modelId="{BD286B92-64D9-4695-846A-BB66A61AE4C1}" type="pres">
      <dgm:prSet presAssocID="{CA35F8CA-1E63-4903-842A-98290E900C11}" presName="Name37" presStyleLbl="parChTrans1D4" presStyleIdx="7" presStyleCnt="37"/>
      <dgm:spPr/>
    </dgm:pt>
    <dgm:pt modelId="{BF24DC5E-4CD4-43ED-B0B8-326652EC5FC9}" type="pres">
      <dgm:prSet presAssocID="{1607AB97-F439-47C3-85E1-9BFBA0C3E601}" presName="hierRoot2" presStyleCnt="0">
        <dgm:presLayoutVars>
          <dgm:hierBranch val="init"/>
        </dgm:presLayoutVars>
      </dgm:prSet>
      <dgm:spPr/>
    </dgm:pt>
    <dgm:pt modelId="{4D862CC6-6F5A-42AB-B9DB-401A201D9BFF}" type="pres">
      <dgm:prSet presAssocID="{1607AB97-F439-47C3-85E1-9BFBA0C3E601}" presName="rootComposite" presStyleCnt="0"/>
      <dgm:spPr/>
    </dgm:pt>
    <dgm:pt modelId="{BF458C22-9F75-41D2-AB4F-0778B2B5B40B}" type="pres">
      <dgm:prSet presAssocID="{1607AB97-F439-47C3-85E1-9BFBA0C3E601}" presName="rootText" presStyleLbl="node4" presStyleIdx="7" presStyleCnt="37">
        <dgm:presLayoutVars>
          <dgm:chPref val="3"/>
        </dgm:presLayoutVars>
      </dgm:prSet>
      <dgm:spPr/>
    </dgm:pt>
    <dgm:pt modelId="{B0108ABA-9E23-4C64-A775-FA4D0416F932}" type="pres">
      <dgm:prSet presAssocID="{1607AB97-F439-47C3-85E1-9BFBA0C3E601}" presName="rootConnector" presStyleLbl="node4" presStyleIdx="7" presStyleCnt="37"/>
      <dgm:spPr/>
    </dgm:pt>
    <dgm:pt modelId="{8AAB11A3-D626-4A2C-B3BE-4CB0C6B28354}" type="pres">
      <dgm:prSet presAssocID="{1607AB97-F439-47C3-85E1-9BFBA0C3E601}" presName="hierChild4" presStyleCnt="0"/>
      <dgm:spPr/>
    </dgm:pt>
    <dgm:pt modelId="{80AD32BE-81FF-4ACD-8EC8-7E28D81BA95B}" type="pres">
      <dgm:prSet presAssocID="{1607AB97-F439-47C3-85E1-9BFBA0C3E601}" presName="hierChild5" presStyleCnt="0"/>
      <dgm:spPr/>
    </dgm:pt>
    <dgm:pt modelId="{3789F431-D3BE-4192-AF43-CCF9549511CA}" type="pres">
      <dgm:prSet presAssocID="{F244B438-471F-46F3-AD68-B67A481F07F8}" presName="Name37" presStyleLbl="parChTrans1D4" presStyleIdx="8" presStyleCnt="37"/>
      <dgm:spPr/>
    </dgm:pt>
    <dgm:pt modelId="{F54049D2-5A0A-4E75-B5B5-4663F9FF2019}" type="pres">
      <dgm:prSet presAssocID="{EF012DE2-96D0-481A-B482-7A801C17E020}" presName="hierRoot2" presStyleCnt="0">
        <dgm:presLayoutVars>
          <dgm:hierBranch val="init"/>
        </dgm:presLayoutVars>
      </dgm:prSet>
      <dgm:spPr/>
    </dgm:pt>
    <dgm:pt modelId="{9D7AF973-370F-4EEF-AB8A-F40132477FC6}" type="pres">
      <dgm:prSet presAssocID="{EF012DE2-96D0-481A-B482-7A801C17E020}" presName="rootComposite" presStyleCnt="0"/>
      <dgm:spPr/>
    </dgm:pt>
    <dgm:pt modelId="{46546686-44A6-4337-B36B-572271EDCA5F}" type="pres">
      <dgm:prSet presAssocID="{EF012DE2-96D0-481A-B482-7A801C17E020}" presName="rootText" presStyleLbl="node4" presStyleIdx="8" presStyleCnt="37">
        <dgm:presLayoutVars>
          <dgm:chPref val="3"/>
        </dgm:presLayoutVars>
      </dgm:prSet>
      <dgm:spPr/>
    </dgm:pt>
    <dgm:pt modelId="{29A9CB9F-5E1D-4635-AA17-6020DB910BA3}" type="pres">
      <dgm:prSet presAssocID="{EF012DE2-96D0-481A-B482-7A801C17E020}" presName="rootConnector" presStyleLbl="node4" presStyleIdx="8" presStyleCnt="37"/>
      <dgm:spPr/>
    </dgm:pt>
    <dgm:pt modelId="{7C421FBD-9544-4292-8A9A-FA9F0B6CD135}" type="pres">
      <dgm:prSet presAssocID="{EF012DE2-96D0-481A-B482-7A801C17E020}" presName="hierChild4" presStyleCnt="0"/>
      <dgm:spPr/>
    </dgm:pt>
    <dgm:pt modelId="{9A42DC26-183A-4C95-A1CF-49167D261787}" type="pres">
      <dgm:prSet presAssocID="{EF012DE2-96D0-481A-B482-7A801C17E020}" presName="hierChild5" presStyleCnt="0"/>
      <dgm:spPr/>
    </dgm:pt>
    <dgm:pt modelId="{57A5E5F3-5A1F-4B65-BCE3-96554E47F66C}" type="pres">
      <dgm:prSet presAssocID="{C8736BC6-75C5-4FC4-BCAC-571B8AEC5E12}" presName="Name37" presStyleLbl="parChTrans1D4" presStyleIdx="9" presStyleCnt="37"/>
      <dgm:spPr/>
    </dgm:pt>
    <dgm:pt modelId="{E3963B34-8F5A-48E6-A252-8C95B5458DDC}" type="pres">
      <dgm:prSet presAssocID="{E1678971-1CE4-4063-A069-A2C3E245353E}" presName="hierRoot2" presStyleCnt="0">
        <dgm:presLayoutVars>
          <dgm:hierBranch val="init"/>
        </dgm:presLayoutVars>
      </dgm:prSet>
      <dgm:spPr/>
    </dgm:pt>
    <dgm:pt modelId="{11AC7466-5790-4298-BCF4-605C2056AAC8}" type="pres">
      <dgm:prSet presAssocID="{E1678971-1CE4-4063-A069-A2C3E245353E}" presName="rootComposite" presStyleCnt="0"/>
      <dgm:spPr/>
    </dgm:pt>
    <dgm:pt modelId="{CF0448EA-89C9-4DA7-B80B-7A1BEE4FBFA2}" type="pres">
      <dgm:prSet presAssocID="{E1678971-1CE4-4063-A069-A2C3E245353E}" presName="rootText" presStyleLbl="node4" presStyleIdx="9" presStyleCnt="37">
        <dgm:presLayoutVars>
          <dgm:chPref val="3"/>
        </dgm:presLayoutVars>
      </dgm:prSet>
      <dgm:spPr/>
    </dgm:pt>
    <dgm:pt modelId="{3C13408F-4180-4D98-93F3-8D7CE5DD93FD}" type="pres">
      <dgm:prSet presAssocID="{E1678971-1CE4-4063-A069-A2C3E245353E}" presName="rootConnector" presStyleLbl="node4" presStyleIdx="9" presStyleCnt="37"/>
      <dgm:spPr/>
    </dgm:pt>
    <dgm:pt modelId="{DB4609A1-7BB5-40D9-8270-043FE8F7E0D5}" type="pres">
      <dgm:prSet presAssocID="{E1678971-1CE4-4063-A069-A2C3E245353E}" presName="hierChild4" presStyleCnt="0"/>
      <dgm:spPr/>
    </dgm:pt>
    <dgm:pt modelId="{C2144825-3C2C-4CA8-8A97-0E577BA76660}" type="pres">
      <dgm:prSet presAssocID="{E1678971-1CE4-4063-A069-A2C3E245353E}" presName="hierChild5" presStyleCnt="0"/>
      <dgm:spPr/>
    </dgm:pt>
    <dgm:pt modelId="{56FB4B80-C169-42B3-BCBE-AAC5EAAD8711}" type="pres">
      <dgm:prSet presAssocID="{C5F5B592-B7BB-47AA-9A5B-E0F4DC1378F7}" presName="hierChild5" presStyleCnt="0"/>
      <dgm:spPr/>
    </dgm:pt>
    <dgm:pt modelId="{A66D8451-CF02-4BD7-A0A7-1033B7C24191}" type="pres">
      <dgm:prSet presAssocID="{F26A6E32-5FBB-4CEF-BDB1-A0E805534581}" presName="Name37" presStyleLbl="parChTrans1D4" presStyleIdx="10" presStyleCnt="37"/>
      <dgm:spPr/>
    </dgm:pt>
    <dgm:pt modelId="{BC123D85-F44C-4295-B91B-21B662279715}" type="pres">
      <dgm:prSet presAssocID="{DBA8929B-46BA-404E-A3FA-7CF913B88C72}" presName="hierRoot2" presStyleCnt="0">
        <dgm:presLayoutVars>
          <dgm:hierBranch val="init"/>
        </dgm:presLayoutVars>
      </dgm:prSet>
      <dgm:spPr/>
    </dgm:pt>
    <dgm:pt modelId="{9746ED08-7335-491E-B494-76EB4AD40D02}" type="pres">
      <dgm:prSet presAssocID="{DBA8929B-46BA-404E-A3FA-7CF913B88C72}" presName="rootComposite" presStyleCnt="0"/>
      <dgm:spPr/>
    </dgm:pt>
    <dgm:pt modelId="{78556E91-42EC-43E1-978E-658D4DDDD109}" type="pres">
      <dgm:prSet presAssocID="{DBA8929B-46BA-404E-A3FA-7CF913B88C72}" presName="rootText" presStyleLbl="node4" presStyleIdx="10" presStyleCnt="37">
        <dgm:presLayoutVars>
          <dgm:chPref val="3"/>
        </dgm:presLayoutVars>
      </dgm:prSet>
      <dgm:spPr/>
    </dgm:pt>
    <dgm:pt modelId="{606E79EA-2C65-434A-80DC-F30777D77F88}" type="pres">
      <dgm:prSet presAssocID="{DBA8929B-46BA-404E-A3FA-7CF913B88C72}" presName="rootConnector" presStyleLbl="node4" presStyleIdx="10" presStyleCnt="37"/>
      <dgm:spPr/>
    </dgm:pt>
    <dgm:pt modelId="{4C9F5376-2B76-43D0-B861-E1968D0EB66F}" type="pres">
      <dgm:prSet presAssocID="{DBA8929B-46BA-404E-A3FA-7CF913B88C72}" presName="hierChild4" presStyleCnt="0"/>
      <dgm:spPr/>
    </dgm:pt>
    <dgm:pt modelId="{9A11771F-7123-429D-8558-F258DF2EEEC2}" type="pres">
      <dgm:prSet presAssocID="{A0B83806-C4D6-4BA9-80A3-2DDA75DFD0F0}" presName="Name37" presStyleLbl="parChTrans1D4" presStyleIdx="11" presStyleCnt="37"/>
      <dgm:spPr/>
    </dgm:pt>
    <dgm:pt modelId="{85860204-7248-4A15-B996-BE66FBF7291A}" type="pres">
      <dgm:prSet presAssocID="{0BE60257-9C66-40C0-84CD-AFEBF2C7CB42}" presName="hierRoot2" presStyleCnt="0">
        <dgm:presLayoutVars>
          <dgm:hierBranch val="init"/>
        </dgm:presLayoutVars>
      </dgm:prSet>
      <dgm:spPr/>
    </dgm:pt>
    <dgm:pt modelId="{ADF44E40-30A4-4B58-B5CA-1292242302B8}" type="pres">
      <dgm:prSet presAssocID="{0BE60257-9C66-40C0-84CD-AFEBF2C7CB42}" presName="rootComposite" presStyleCnt="0"/>
      <dgm:spPr/>
    </dgm:pt>
    <dgm:pt modelId="{0696EA4D-BDC7-4143-984E-E4653F1FF589}" type="pres">
      <dgm:prSet presAssocID="{0BE60257-9C66-40C0-84CD-AFEBF2C7CB42}" presName="rootText" presStyleLbl="node4" presStyleIdx="11" presStyleCnt="37">
        <dgm:presLayoutVars>
          <dgm:chPref val="3"/>
        </dgm:presLayoutVars>
      </dgm:prSet>
      <dgm:spPr/>
    </dgm:pt>
    <dgm:pt modelId="{7B1D38F7-1B50-40C5-B26B-5FC6B24706AA}" type="pres">
      <dgm:prSet presAssocID="{0BE60257-9C66-40C0-84CD-AFEBF2C7CB42}" presName="rootConnector" presStyleLbl="node4" presStyleIdx="11" presStyleCnt="37"/>
      <dgm:spPr/>
    </dgm:pt>
    <dgm:pt modelId="{F5189EBD-6E00-4535-B6FE-A31FBD70F8EE}" type="pres">
      <dgm:prSet presAssocID="{0BE60257-9C66-40C0-84CD-AFEBF2C7CB42}" presName="hierChild4" presStyleCnt="0"/>
      <dgm:spPr/>
    </dgm:pt>
    <dgm:pt modelId="{D0872D96-AB55-420D-846C-61BEE0E52E71}" type="pres">
      <dgm:prSet presAssocID="{0BE60257-9C66-40C0-84CD-AFEBF2C7CB42}" presName="hierChild5" presStyleCnt="0"/>
      <dgm:spPr/>
    </dgm:pt>
    <dgm:pt modelId="{A2B2F150-3A49-411F-B5D3-AE477FF6EDA9}" type="pres">
      <dgm:prSet presAssocID="{1E24733A-326F-47E5-A424-6C2AAFD45BB8}" presName="Name37" presStyleLbl="parChTrans1D4" presStyleIdx="12" presStyleCnt="37"/>
      <dgm:spPr/>
    </dgm:pt>
    <dgm:pt modelId="{147B8D8D-BD16-4CE7-9E56-F4ECFC84E554}" type="pres">
      <dgm:prSet presAssocID="{32AAD461-4101-4CCE-B5F1-1DF7786297AA}" presName="hierRoot2" presStyleCnt="0">
        <dgm:presLayoutVars>
          <dgm:hierBranch val="init"/>
        </dgm:presLayoutVars>
      </dgm:prSet>
      <dgm:spPr/>
    </dgm:pt>
    <dgm:pt modelId="{8D61D3F7-84F4-4B2F-8F2E-20BEBADBBEC9}" type="pres">
      <dgm:prSet presAssocID="{32AAD461-4101-4CCE-B5F1-1DF7786297AA}" presName="rootComposite" presStyleCnt="0"/>
      <dgm:spPr/>
    </dgm:pt>
    <dgm:pt modelId="{F0A31EE9-0D84-4B58-A5FB-9EEBE96B3F18}" type="pres">
      <dgm:prSet presAssocID="{32AAD461-4101-4CCE-B5F1-1DF7786297AA}" presName="rootText" presStyleLbl="node4" presStyleIdx="12" presStyleCnt="37">
        <dgm:presLayoutVars>
          <dgm:chPref val="3"/>
        </dgm:presLayoutVars>
      </dgm:prSet>
      <dgm:spPr/>
    </dgm:pt>
    <dgm:pt modelId="{9FD37CD4-3247-4FB2-BFAC-5564929EF05C}" type="pres">
      <dgm:prSet presAssocID="{32AAD461-4101-4CCE-B5F1-1DF7786297AA}" presName="rootConnector" presStyleLbl="node4" presStyleIdx="12" presStyleCnt="37"/>
      <dgm:spPr/>
    </dgm:pt>
    <dgm:pt modelId="{F793857A-6F77-470A-AD9E-F195F115A929}" type="pres">
      <dgm:prSet presAssocID="{32AAD461-4101-4CCE-B5F1-1DF7786297AA}" presName="hierChild4" presStyleCnt="0"/>
      <dgm:spPr/>
    </dgm:pt>
    <dgm:pt modelId="{55C76D2E-AB4A-4EC8-B915-6FA962CB6C9C}" type="pres">
      <dgm:prSet presAssocID="{32AAD461-4101-4CCE-B5F1-1DF7786297AA}" presName="hierChild5" presStyleCnt="0"/>
      <dgm:spPr/>
    </dgm:pt>
    <dgm:pt modelId="{610AECA4-B1FF-469D-AC28-D762F69B2F2E}" type="pres">
      <dgm:prSet presAssocID="{8B5D55A5-366A-4826-9AF4-7B41BA2748AB}" presName="Name37" presStyleLbl="parChTrans1D4" presStyleIdx="13" presStyleCnt="37"/>
      <dgm:spPr/>
    </dgm:pt>
    <dgm:pt modelId="{CD211810-CC48-4713-8D4E-A26820B06C17}" type="pres">
      <dgm:prSet presAssocID="{04DC9C24-5C23-4AB5-9DB9-94BB85E98A7C}" presName="hierRoot2" presStyleCnt="0">
        <dgm:presLayoutVars>
          <dgm:hierBranch val="init"/>
        </dgm:presLayoutVars>
      </dgm:prSet>
      <dgm:spPr/>
    </dgm:pt>
    <dgm:pt modelId="{44D238E0-B58B-4416-9B93-288B30D53466}" type="pres">
      <dgm:prSet presAssocID="{04DC9C24-5C23-4AB5-9DB9-94BB85E98A7C}" presName="rootComposite" presStyleCnt="0"/>
      <dgm:spPr/>
    </dgm:pt>
    <dgm:pt modelId="{A24CCB7F-4321-4494-B9BA-D9654648EAB6}" type="pres">
      <dgm:prSet presAssocID="{04DC9C24-5C23-4AB5-9DB9-94BB85E98A7C}" presName="rootText" presStyleLbl="node4" presStyleIdx="13" presStyleCnt="37">
        <dgm:presLayoutVars>
          <dgm:chPref val="3"/>
        </dgm:presLayoutVars>
      </dgm:prSet>
      <dgm:spPr/>
    </dgm:pt>
    <dgm:pt modelId="{41A55E30-68D7-429F-9163-C763A5F81133}" type="pres">
      <dgm:prSet presAssocID="{04DC9C24-5C23-4AB5-9DB9-94BB85E98A7C}" presName="rootConnector" presStyleLbl="node4" presStyleIdx="13" presStyleCnt="37"/>
      <dgm:spPr/>
    </dgm:pt>
    <dgm:pt modelId="{057CAF85-FC8F-4E0D-8B95-EE023BBDF7E1}" type="pres">
      <dgm:prSet presAssocID="{04DC9C24-5C23-4AB5-9DB9-94BB85E98A7C}" presName="hierChild4" presStyleCnt="0"/>
      <dgm:spPr/>
    </dgm:pt>
    <dgm:pt modelId="{49885DEC-9B33-46E4-B09E-9220FFF932E5}" type="pres">
      <dgm:prSet presAssocID="{04DC9C24-5C23-4AB5-9DB9-94BB85E98A7C}" presName="hierChild5" presStyleCnt="0"/>
      <dgm:spPr/>
    </dgm:pt>
    <dgm:pt modelId="{969BF57F-B9F1-4415-88F3-AE3451C18182}" type="pres">
      <dgm:prSet presAssocID="{4EFFC1A5-282F-4F34-864A-ACD659EC7C81}" presName="Name37" presStyleLbl="parChTrans1D4" presStyleIdx="14" presStyleCnt="37"/>
      <dgm:spPr/>
    </dgm:pt>
    <dgm:pt modelId="{69A00C9B-18CB-4AD8-8D9C-6434CEA45694}" type="pres">
      <dgm:prSet presAssocID="{EC169E66-03F5-48A6-B577-578CD2F1BBCD}" presName="hierRoot2" presStyleCnt="0">
        <dgm:presLayoutVars>
          <dgm:hierBranch val="init"/>
        </dgm:presLayoutVars>
      </dgm:prSet>
      <dgm:spPr/>
    </dgm:pt>
    <dgm:pt modelId="{19BB3DD4-9F7B-4917-8069-A97509791125}" type="pres">
      <dgm:prSet presAssocID="{EC169E66-03F5-48A6-B577-578CD2F1BBCD}" presName="rootComposite" presStyleCnt="0"/>
      <dgm:spPr/>
    </dgm:pt>
    <dgm:pt modelId="{FD88D524-6B57-4079-A2B6-9CAB4B9479AA}" type="pres">
      <dgm:prSet presAssocID="{EC169E66-03F5-48A6-B577-578CD2F1BBCD}" presName="rootText" presStyleLbl="node4" presStyleIdx="14" presStyleCnt="37">
        <dgm:presLayoutVars>
          <dgm:chPref val="3"/>
        </dgm:presLayoutVars>
      </dgm:prSet>
      <dgm:spPr/>
    </dgm:pt>
    <dgm:pt modelId="{0E2E5F0D-12BE-4204-8137-F7ACE46ACF19}" type="pres">
      <dgm:prSet presAssocID="{EC169E66-03F5-48A6-B577-578CD2F1BBCD}" presName="rootConnector" presStyleLbl="node4" presStyleIdx="14" presStyleCnt="37"/>
      <dgm:spPr/>
    </dgm:pt>
    <dgm:pt modelId="{A87A6427-0F20-49F4-9770-5782B7BF94A1}" type="pres">
      <dgm:prSet presAssocID="{EC169E66-03F5-48A6-B577-578CD2F1BBCD}" presName="hierChild4" presStyleCnt="0"/>
      <dgm:spPr/>
    </dgm:pt>
    <dgm:pt modelId="{6CA71762-9685-464F-B451-A4EE9EC95A6D}" type="pres">
      <dgm:prSet presAssocID="{EC169E66-03F5-48A6-B577-578CD2F1BBCD}" presName="hierChild5" presStyleCnt="0"/>
      <dgm:spPr/>
    </dgm:pt>
    <dgm:pt modelId="{61334895-6D96-448D-BF7A-30B9B66AC9D3}" type="pres">
      <dgm:prSet presAssocID="{AEE5868F-C0DE-4C6A-A255-A6B16719D8D2}" presName="Name37" presStyleLbl="parChTrans1D4" presStyleIdx="15" presStyleCnt="37"/>
      <dgm:spPr/>
    </dgm:pt>
    <dgm:pt modelId="{C5BFA44E-A7D7-4B85-B0E2-59BC7AD4D8F9}" type="pres">
      <dgm:prSet presAssocID="{BAA29A34-4B81-44E4-A28C-5904A91B195E}" presName="hierRoot2" presStyleCnt="0">
        <dgm:presLayoutVars>
          <dgm:hierBranch val="init"/>
        </dgm:presLayoutVars>
      </dgm:prSet>
      <dgm:spPr/>
    </dgm:pt>
    <dgm:pt modelId="{E6D8BA09-D311-4D02-91B0-8106441D17BA}" type="pres">
      <dgm:prSet presAssocID="{BAA29A34-4B81-44E4-A28C-5904A91B195E}" presName="rootComposite" presStyleCnt="0"/>
      <dgm:spPr/>
    </dgm:pt>
    <dgm:pt modelId="{DF3BF60F-9C5F-4B29-8C19-C4AEF7B49BC1}" type="pres">
      <dgm:prSet presAssocID="{BAA29A34-4B81-44E4-A28C-5904A91B195E}" presName="rootText" presStyleLbl="node4" presStyleIdx="15" presStyleCnt="37">
        <dgm:presLayoutVars>
          <dgm:chPref val="3"/>
        </dgm:presLayoutVars>
      </dgm:prSet>
      <dgm:spPr/>
    </dgm:pt>
    <dgm:pt modelId="{549D9CBE-2475-49D8-8C4D-7BA4C56234FC}" type="pres">
      <dgm:prSet presAssocID="{BAA29A34-4B81-44E4-A28C-5904A91B195E}" presName="rootConnector" presStyleLbl="node4" presStyleIdx="15" presStyleCnt="37"/>
      <dgm:spPr/>
    </dgm:pt>
    <dgm:pt modelId="{610506BB-1F8B-4DFD-A9F3-42BEE0125772}" type="pres">
      <dgm:prSet presAssocID="{BAA29A34-4B81-44E4-A28C-5904A91B195E}" presName="hierChild4" presStyleCnt="0"/>
      <dgm:spPr/>
    </dgm:pt>
    <dgm:pt modelId="{6218E98F-F1EF-400A-B5D1-CE71C4062A2E}" type="pres">
      <dgm:prSet presAssocID="{BAA29A34-4B81-44E4-A28C-5904A91B195E}" presName="hierChild5" presStyleCnt="0"/>
      <dgm:spPr/>
    </dgm:pt>
    <dgm:pt modelId="{30C813F2-B11E-4353-A194-A898DC3B7383}" type="pres">
      <dgm:prSet presAssocID="{DBA8929B-46BA-404E-A3FA-7CF913B88C72}" presName="hierChild5" presStyleCnt="0"/>
      <dgm:spPr/>
    </dgm:pt>
    <dgm:pt modelId="{274DB5B8-E521-41DA-9E98-689E1F5C07D7}" type="pres">
      <dgm:prSet presAssocID="{304499FC-178F-457B-9D5B-07C633CC1703}" presName="Name37" presStyleLbl="parChTrans1D4" presStyleIdx="16" presStyleCnt="37"/>
      <dgm:spPr/>
    </dgm:pt>
    <dgm:pt modelId="{EF362B4A-EBC1-49D7-81DF-22D702A5BEC6}" type="pres">
      <dgm:prSet presAssocID="{C2E9E08C-C520-4750-9A46-099873830BC9}" presName="hierRoot2" presStyleCnt="0">
        <dgm:presLayoutVars>
          <dgm:hierBranch val="init"/>
        </dgm:presLayoutVars>
      </dgm:prSet>
      <dgm:spPr/>
    </dgm:pt>
    <dgm:pt modelId="{10696C1F-AB5D-4D57-91A2-1B0DD1FDB791}" type="pres">
      <dgm:prSet presAssocID="{C2E9E08C-C520-4750-9A46-099873830BC9}" presName="rootComposite" presStyleCnt="0"/>
      <dgm:spPr/>
    </dgm:pt>
    <dgm:pt modelId="{1C849335-50E5-4414-A615-F49699DB7FD2}" type="pres">
      <dgm:prSet presAssocID="{C2E9E08C-C520-4750-9A46-099873830BC9}" presName="rootText" presStyleLbl="node4" presStyleIdx="16" presStyleCnt="37">
        <dgm:presLayoutVars>
          <dgm:chPref val="3"/>
        </dgm:presLayoutVars>
      </dgm:prSet>
      <dgm:spPr/>
    </dgm:pt>
    <dgm:pt modelId="{95925107-44DC-4B69-A320-A040CFD26CB5}" type="pres">
      <dgm:prSet presAssocID="{C2E9E08C-C520-4750-9A46-099873830BC9}" presName="rootConnector" presStyleLbl="node4" presStyleIdx="16" presStyleCnt="37"/>
      <dgm:spPr/>
    </dgm:pt>
    <dgm:pt modelId="{A457088C-6B34-4B1E-AF49-5A53705069EA}" type="pres">
      <dgm:prSet presAssocID="{C2E9E08C-C520-4750-9A46-099873830BC9}" presName="hierChild4" presStyleCnt="0"/>
      <dgm:spPr/>
    </dgm:pt>
    <dgm:pt modelId="{4F7518DB-5A64-4C4B-AC5D-0356CD0CCE4D}" type="pres">
      <dgm:prSet presAssocID="{C00698EA-AC61-4C5F-8776-C76E99D167F9}" presName="Name37" presStyleLbl="parChTrans1D4" presStyleIdx="17" presStyleCnt="37"/>
      <dgm:spPr/>
    </dgm:pt>
    <dgm:pt modelId="{8D9A2750-7784-408C-8840-BCD5A7DCE08B}" type="pres">
      <dgm:prSet presAssocID="{D78F8BA5-129B-4522-9EA8-77CF146B46A3}" presName="hierRoot2" presStyleCnt="0">
        <dgm:presLayoutVars>
          <dgm:hierBranch val="init"/>
        </dgm:presLayoutVars>
      </dgm:prSet>
      <dgm:spPr/>
    </dgm:pt>
    <dgm:pt modelId="{D34E6554-4688-441D-BAD7-E95DFCD00CCF}" type="pres">
      <dgm:prSet presAssocID="{D78F8BA5-129B-4522-9EA8-77CF146B46A3}" presName="rootComposite" presStyleCnt="0"/>
      <dgm:spPr/>
    </dgm:pt>
    <dgm:pt modelId="{599FA050-92D0-47AA-B5EB-98254295AF14}" type="pres">
      <dgm:prSet presAssocID="{D78F8BA5-129B-4522-9EA8-77CF146B46A3}" presName="rootText" presStyleLbl="node4" presStyleIdx="17" presStyleCnt="37">
        <dgm:presLayoutVars>
          <dgm:chPref val="3"/>
        </dgm:presLayoutVars>
      </dgm:prSet>
      <dgm:spPr/>
    </dgm:pt>
    <dgm:pt modelId="{D0506541-1F87-4764-AB55-95DABF99DBAB}" type="pres">
      <dgm:prSet presAssocID="{D78F8BA5-129B-4522-9EA8-77CF146B46A3}" presName="rootConnector" presStyleLbl="node4" presStyleIdx="17" presStyleCnt="37"/>
      <dgm:spPr/>
    </dgm:pt>
    <dgm:pt modelId="{741905EE-3B6B-4321-8B3D-ED7C03CF0A39}" type="pres">
      <dgm:prSet presAssocID="{D78F8BA5-129B-4522-9EA8-77CF146B46A3}" presName="hierChild4" presStyleCnt="0"/>
      <dgm:spPr/>
    </dgm:pt>
    <dgm:pt modelId="{B1F066B9-8FE9-476A-A120-2305570402FE}" type="pres">
      <dgm:prSet presAssocID="{D78F8BA5-129B-4522-9EA8-77CF146B46A3}" presName="hierChild5" presStyleCnt="0"/>
      <dgm:spPr/>
    </dgm:pt>
    <dgm:pt modelId="{406D6097-66B3-4200-96FC-A9C16D3CF51B}" type="pres">
      <dgm:prSet presAssocID="{157E55D2-C3AB-4674-8931-4306188B0EC5}" presName="Name37" presStyleLbl="parChTrans1D4" presStyleIdx="18" presStyleCnt="37"/>
      <dgm:spPr/>
    </dgm:pt>
    <dgm:pt modelId="{273A9629-EDE6-46C7-9555-9C85FB6F532B}" type="pres">
      <dgm:prSet presAssocID="{0967B97A-9CE9-40F1-BF1A-2DFA48C2D7E5}" presName="hierRoot2" presStyleCnt="0">
        <dgm:presLayoutVars>
          <dgm:hierBranch val="init"/>
        </dgm:presLayoutVars>
      </dgm:prSet>
      <dgm:spPr/>
    </dgm:pt>
    <dgm:pt modelId="{7DFCF8CB-1F5A-457B-B607-076FB0504BC8}" type="pres">
      <dgm:prSet presAssocID="{0967B97A-9CE9-40F1-BF1A-2DFA48C2D7E5}" presName="rootComposite" presStyleCnt="0"/>
      <dgm:spPr/>
    </dgm:pt>
    <dgm:pt modelId="{873223EA-7F68-4528-98BE-9B0AD4B9BA4A}" type="pres">
      <dgm:prSet presAssocID="{0967B97A-9CE9-40F1-BF1A-2DFA48C2D7E5}" presName="rootText" presStyleLbl="node4" presStyleIdx="18" presStyleCnt="37">
        <dgm:presLayoutVars>
          <dgm:chPref val="3"/>
        </dgm:presLayoutVars>
      </dgm:prSet>
      <dgm:spPr/>
    </dgm:pt>
    <dgm:pt modelId="{C7560BDD-B0C7-4326-9BF2-977128BE75B1}" type="pres">
      <dgm:prSet presAssocID="{0967B97A-9CE9-40F1-BF1A-2DFA48C2D7E5}" presName="rootConnector" presStyleLbl="node4" presStyleIdx="18" presStyleCnt="37"/>
      <dgm:spPr/>
    </dgm:pt>
    <dgm:pt modelId="{DFE20A5A-999C-4482-AE21-B589E7C4F5BC}" type="pres">
      <dgm:prSet presAssocID="{0967B97A-9CE9-40F1-BF1A-2DFA48C2D7E5}" presName="hierChild4" presStyleCnt="0"/>
      <dgm:spPr/>
    </dgm:pt>
    <dgm:pt modelId="{CE1F9F8E-E8B5-48C9-AA6B-055FF8129427}" type="pres">
      <dgm:prSet presAssocID="{6461F17E-7831-494C-9098-041A0F5DDE37}" presName="Name37" presStyleLbl="parChTrans1D4" presStyleIdx="19" presStyleCnt="37"/>
      <dgm:spPr/>
    </dgm:pt>
    <dgm:pt modelId="{B22B25E0-2B32-4909-B3DE-3770770DC61E}" type="pres">
      <dgm:prSet presAssocID="{1E766082-A467-492E-B298-169535B5EB3A}" presName="hierRoot2" presStyleCnt="0">
        <dgm:presLayoutVars>
          <dgm:hierBranch val="init"/>
        </dgm:presLayoutVars>
      </dgm:prSet>
      <dgm:spPr/>
    </dgm:pt>
    <dgm:pt modelId="{4C9A99EB-89B7-459B-AB0E-E1AB1CF0F07E}" type="pres">
      <dgm:prSet presAssocID="{1E766082-A467-492E-B298-169535B5EB3A}" presName="rootComposite" presStyleCnt="0"/>
      <dgm:spPr/>
    </dgm:pt>
    <dgm:pt modelId="{9A1E64F1-90FC-4F6A-9630-A28347507182}" type="pres">
      <dgm:prSet presAssocID="{1E766082-A467-492E-B298-169535B5EB3A}" presName="rootText" presStyleLbl="node4" presStyleIdx="19" presStyleCnt="37">
        <dgm:presLayoutVars>
          <dgm:chPref val="3"/>
        </dgm:presLayoutVars>
      </dgm:prSet>
      <dgm:spPr/>
    </dgm:pt>
    <dgm:pt modelId="{225E9645-CE22-4325-A6D5-2030D72D47AB}" type="pres">
      <dgm:prSet presAssocID="{1E766082-A467-492E-B298-169535B5EB3A}" presName="rootConnector" presStyleLbl="node4" presStyleIdx="19" presStyleCnt="37"/>
      <dgm:spPr/>
    </dgm:pt>
    <dgm:pt modelId="{5F3BA00F-4D53-445B-AF38-11AD39706FF8}" type="pres">
      <dgm:prSet presAssocID="{1E766082-A467-492E-B298-169535B5EB3A}" presName="hierChild4" presStyleCnt="0"/>
      <dgm:spPr/>
    </dgm:pt>
    <dgm:pt modelId="{3BC59CA8-9B10-4ACA-A04D-8429DC1DABF2}" type="pres">
      <dgm:prSet presAssocID="{1E766082-A467-492E-B298-169535B5EB3A}" presName="hierChild5" presStyleCnt="0"/>
      <dgm:spPr/>
    </dgm:pt>
    <dgm:pt modelId="{DCF57CB3-4449-4E57-A164-5E94FDBA187C}" type="pres">
      <dgm:prSet presAssocID="{4C48EC1D-D408-4EDF-A291-3EFF51AC875B}" presName="Name37" presStyleLbl="parChTrans1D4" presStyleIdx="20" presStyleCnt="37"/>
      <dgm:spPr/>
    </dgm:pt>
    <dgm:pt modelId="{52AABF47-19A9-42B8-8374-96BF91871CF9}" type="pres">
      <dgm:prSet presAssocID="{4CA2F327-3870-47D4-9CA2-47F6BD7B246E}" presName="hierRoot2" presStyleCnt="0">
        <dgm:presLayoutVars>
          <dgm:hierBranch val="init"/>
        </dgm:presLayoutVars>
      </dgm:prSet>
      <dgm:spPr/>
    </dgm:pt>
    <dgm:pt modelId="{239C3811-239C-4E45-AFA4-BAE1CF17E7F4}" type="pres">
      <dgm:prSet presAssocID="{4CA2F327-3870-47D4-9CA2-47F6BD7B246E}" presName="rootComposite" presStyleCnt="0"/>
      <dgm:spPr/>
    </dgm:pt>
    <dgm:pt modelId="{8EAEF25F-2DD2-4D54-80B0-B5D386314CBD}" type="pres">
      <dgm:prSet presAssocID="{4CA2F327-3870-47D4-9CA2-47F6BD7B246E}" presName="rootText" presStyleLbl="node4" presStyleIdx="20" presStyleCnt="37">
        <dgm:presLayoutVars>
          <dgm:chPref val="3"/>
        </dgm:presLayoutVars>
      </dgm:prSet>
      <dgm:spPr/>
    </dgm:pt>
    <dgm:pt modelId="{53241EBE-BBB2-48AB-AC10-635EEA86706C}" type="pres">
      <dgm:prSet presAssocID="{4CA2F327-3870-47D4-9CA2-47F6BD7B246E}" presName="rootConnector" presStyleLbl="node4" presStyleIdx="20" presStyleCnt="37"/>
      <dgm:spPr/>
    </dgm:pt>
    <dgm:pt modelId="{FC191BA2-1F83-4B03-93C6-B30832B3BF69}" type="pres">
      <dgm:prSet presAssocID="{4CA2F327-3870-47D4-9CA2-47F6BD7B246E}" presName="hierChild4" presStyleCnt="0"/>
      <dgm:spPr/>
    </dgm:pt>
    <dgm:pt modelId="{26D301A9-FC88-4796-B983-4794F47A290B}" type="pres">
      <dgm:prSet presAssocID="{4CA2F327-3870-47D4-9CA2-47F6BD7B246E}" presName="hierChild5" presStyleCnt="0"/>
      <dgm:spPr/>
    </dgm:pt>
    <dgm:pt modelId="{264E5045-C9E0-40DD-B29E-4706AEBE2D98}" type="pres">
      <dgm:prSet presAssocID="{0967B97A-9CE9-40F1-BF1A-2DFA48C2D7E5}" presName="hierChild5" presStyleCnt="0"/>
      <dgm:spPr/>
    </dgm:pt>
    <dgm:pt modelId="{A6AAD986-BDDA-4373-AB96-B725F9FD1472}" type="pres">
      <dgm:prSet presAssocID="{CA8B7563-E70A-42E2-9FC1-40504F35B43D}" presName="Name37" presStyleLbl="parChTrans1D4" presStyleIdx="21" presStyleCnt="37"/>
      <dgm:spPr/>
    </dgm:pt>
    <dgm:pt modelId="{60D285E7-65E0-41F5-A241-8ABC24FAA170}" type="pres">
      <dgm:prSet presAssocID="{474A4018-4DD1-417F-A91F-005BA3B38AD9}" presName="hierRoot2" presStyleCnt="0">
        <dgm:presLayoutVars>
          <dgm:hierBranch val="init"/>
        </dgm:presLayoutVars>
      </dgm:prSet>
      <dgm:spPr/>
    </dgm:pt>
    <dgm:pt modelId="{9280290A-3D1F-4CF0-8D03-735DFB33A88D}" type="pres">
      <dgm:prSet presAssocID="{474A4018-4DD1-417F-A91F-005BA3B38AD9}" presName="rootComposite" presStyleCnt="0"/>
      <dgm:spPr/>
    </dgm:pt>
    <dgm:pt modelId="{E8B4E636-F6EE-4FCD-8313-5C10BC0BD96E}" type="pres">
      <dgm:prSet presAssocID="{474A4018-4DD1-417F-A91F-005BA3B38AD9}" presName="rootText" presStyleLbl="node4" presStyleIdx="21" presStyleCnt="37">
        <dgm:presLayoutVars>
          <dgm:chPref val="3"/>
        </dgm:presLayoutVars>
      </dgm:prSet>
      <dgm:spPr/>
    </dgm:pt>
    <dgm:pt modelId="{FBDC1316-480B-4FC9-9E0C-11D55B35DB3D}" type="pres">
      <dgm:prSet presAssocID="{474A4018-4DD1-417F-A91F-005BA3B38AD9}" presName="rootConnector" presStyleLbl="node4" presStyleIdx="21" presStyleCnt="37"/>
      <dgm:spPr/>
    </dgm:pt>
    <dgm:pt modelId="{C07FCB12-8561-41CE-B9F0-9426819FA3DD}" type="pres">
      <dgm:prSet presAssocID="{474A4018-4DD1-417F-A91F-005BA3B38AD9}" presName="hierChild4" presStyleCnt="0"/>
      <dgm:spPr/>
    </dgm:pt>
    <dgm:pt modelId="{CB1A10D5-4204-44C0-A001-40F638754F3F}" type="pres">
      <dgm:prSet presAssocID="{474A4018-4DD1-417F-A91F-005BA3B38AD9}" presName="hierChild5" presStyleCnt="0"/>
      <dgm:spPr/>
    </dgm:pt>
    <dgm:pt modelId="{A6F323F4-E546-412D-9002-0DB2C7E004A3}" type="pres">
      <dgm:prSet presAssocID="{B5C51296-D9DC-41E3-8C72-66DFE85CD098}" presName="Name37" presStyleLbl="parChTrans1D4" presStyleIdx="22" presStyleCnt="37"/>
      <dgm:spPr/>
    </dgm:pt>
    <dgm:pt modelId="{A7E8487E-A355-430F-A203-72807BA37B89}" type="pres">
      <dgm:prSet presAssocID="{29E91A9B-99B2-4AFC-BEF7-B75E1714C2B9}" presName="hierRoot2" presStyleCnt="0">
        <dgm:presLayoutVars>
          <dgm:hierBranch val="init"/>
        </dgm:presLayoutVars>
      </dgm:prSet>
      <dgm:spPr/>
    </dgm:pt>
    <dgm:pt modelId="{EBB5AB6A-C3AE-4916-A57F-DFDB19B24E1F}" type="pres">
      <dgm:prSet presAssocID="{29E91A9B-99B2-4AFC-BEF7-B75E1714C2B9}" presName="rootComposite" presStyleCnt="0"/>
      <dgm:spPr/>
    </dgm:pt>
    <dgm:pt modelId="{78CA72F4-0034-4309-B3A1-F9EB555CDFBB}" type="pres">
      <dgm:prSet presAssocID="{29E91A9B-99B2-4AFC-BEF7-B75E1714C2B9}" presName="rootText" presStyleLbl="node4" presStyleIdx="22" presStyleCnt="37">
        <dgm:presLayoutVars>
          <dgm:chPref val="3"/>
        </dgm:presLayoutVars>
      </dgm:prSet>
      <dgm:spPr/>
    </dgm:pt>
    <dgm:pt modelId="{55C64AF7-33F4-4582-BE0B-4D92A6C57C6D}" type="pres">
      <dgm:prSet presAssocID="{29E91A9B-99B2-4AFC-BEF7-B75E1714C2B9}" presName="rootConnector" presStyleLbl="node4" presStyleIdx="22" presStyleCnt="37"/>
      <dgm:spPr/>
    </dgm:pt>
    <dgm:pt modelId="{CAD5C34A-60F5-4CE8-AB9F-F1E1C98A41AA}" type="pres">
      <dgm:prSet presAssocID="{29E91A9B-99B2-4AFC-BEF7-B75E1714C2B9}" presName="hierChild4" presStyleCnt="0"/>
      <dgm:spPr/>
    </dgm:pt>
    <dgm:pt modelId="{9DF48471-5256-4EE8-A92D-FC07A4FA8CBA}" type="pres">
      <dgm:prSet presAssocID="{29E91A9B-99B2-4AFC-BEF7-B75E1714C2B9}" presName="hierChild5" presStyleCnt="0"/>
      <dgm:spPr/>
    </dgm:pt>
    <dgm:pt modelId="{446B03C7-BD1D-4A12-9646-50B205C9B9BF}" type="pres">
      <dgm:prSet presAssocID="{C2E9E08C-C520-4750-9A46-099873830BC9}" presName="hierChild5" presStyleCnt="0"/>
      <dgm:spPr/>
    </dgm:pt>
    <dgm:pt modelId="{FF337413-25A8-4F96-8812-530448FD89E6}" type="pres">
      <dgm:prSet presAssocID="{D9DCBD92-CF2D-4FA3-9650-A94983E94475}" presName="hierChild5" presStyleCnt="0"/>
      <dgm:spPr/>
    </dgm:pt>
    <dgm:pt modelId="{FA56C4BD-6043-4B54-910E-E8237DD65AAE}" type="pres">
      <dgm:prSet presAssocID="{1182CA2F-4565-428E-AE54-DA4AC822DEC1}" presName="Name37" presStyleLbl="parChTrans1D3" presStyleIdx="14" presStyleCnt="33"/>
      <dgm:spPr/>
    </dgm:pt>
    <dgm:pt modelId="{5587ABA7-0698-4821-8DB3-7AEB6EAA2674}" type="pres">
      <dgm:prSet presAssocID="{D5E38E4B-FED5-4A0A-B8AA-8728BED387A3}" presName="hierRoot2" presStyleCnt="0">
        <dgm:presLayoutVars>
          <dgm:hierBranch val="init"/>
        </dgm:presLayoutVars>
      </dgm:prSet>
      <dgm:spPr/>
    </dgm:pt>
    <dgm:pt modelId="{289A3F80-C877-49C4-8196-9C82E753D9D4}" type="pres">
      <dgm:prSet presAssocID="{D5E38E4B-FED5-4A0A-B8AA-8728BED387A3}" presName="rootComposite" presStyleCnt="0"/>
      <dgm:spPr/>
    </dgm:pt>
    <dgm:pt modelId="{9B9866DE-24EA-425D-AAF9-AA88956DF751}" type="pres">
      <dgm:prSet presAssocID="{D5E38E4B-FED5-4A0A-B8AA-8728BED387A3}" presName="rootText" presStyleLbl="node3" presStyleIdx="14" presStyleCnt="33">
        <dgm:presLayoutVars>
          <dgm:chPref val="3"/>
        </dgm:presLayoutVars>
      </dgm:prSet>
      <dgm:spPr/>
    </dgm:pt>
    <dgm:pt modelId="{079F8876-CFDE-4455-9649-464E228FB647}" type="pres">
      <dgm:prSet presAssocID="{D5E38E4B-FED5-4A0A-B8AA-8728BED387A3}" presName="rootConnector" presStyleLbl="node3" presStyleIdx="14" presStyleCnt="33"/>
      <dgm:spPr/>
    </dgm:pt>
    <dgm:pt modelId="{55E98BC0-F8C4-458C-AFA1-F70FDFE3C283}" type="pres">
      <dgm:prSet presAssocID="{D5E38E4B-FED5-4A0A-B8AA-8728BED387A3}" presName="hierChild4" presStyleCnt="0"/>
      <dgm:spPr/>
    </dgm:pt>
    <dgm:pt modelId="{09E0DB91-1B85-4198-B787-4E0F0BB350D5}" type="pres">
      <dgm:prSet presAssocID="{E5DFCF2D-8524-4D8E-AB8B-E3229044C96F}" presName="Name37" presStyleLbl="parChTrans1D4" presStyleIdx="23" presStyleCnt="37"/>
      <dgm:spPr/>
    </dgm:pt>
    <dgm:pt modelId="{75E3F3B5-B99D-4FFF-BDE7-8529DE26BEF4}" type="pres">
      <dgm:prSet presAssocID="{B3F45023-E1E3-43C0-B67F-AD1E7AC51078}" presName="hierRoot2" presStyleCnt="0">
        <dgm:presLayoutVars>
          <dgm:hierBranch val="init"/>
        </dgm:presLayoutVars>
      </dgm:prSet>
      <dgm:spPr/>
    </dgm:pt>
    <dgm:pt modelId="{D8555131-4286-45A5-ADD1-855C774DD890}" type="pres">
      <dgm:prSet presAssocID="{B3F45023-E1E3-43C0-B67F-AD1E7AC51078}" presName="rootComposite" presStyleCnt="0"/>
      <dgm:spPr/>
    </dgm:pt>
    <dgm:pt modelId="{CD330AB0-A63B-49B7-BE13-963320C41952}" type="pres">
      <dgm:prSet presAssocID="{B3F45023-E1E3-43C0-B67F-AD1E7AC51078}" presName="rootText" presStyleLbl="node4" presStyleIdx="23" presStyleCnt="37">
        <dgm:presLayoutVars>
          <dgm:chPref val="3"/>
        </dgm:presLayoutVars>
      </dgm:prSet>
      <dgm:spPr/>
    </dgm:pt>
    <dgm:pt modelId="{FC14D896-E8C1-4EED-9966-D6B21845F566}" type="pres">
      <dgm:prSet presAssocID="{B3F45023-E1E3-43C0-B67F-AD1E7AC51078}" presName="rootConnector" presStyleLbl="node4" presStyleIdx="23" presStyleCnt="37"/>
      <dgm:spPr/>
    </dgm:pt>
    <dgm:pt modelId="{38EC9A3E-CD20-4E54-BE14-592F28A0D947}" type="pres">
      <dgm:prSet presAssocID="{B3F45023-E1E3-43C0-B67F-AD1E7AC51078}" presName="hierChild4" presStyleCnt="0"/>
      <dgm:spPr/>
    </dgm:pt>
    <dgm:pt modelId="{DCDC6238-9924-4CB4-8E8E-E4E6304A5BCB}" type="pres">
      <dgm:prSet presAssocID="{C550F39E-3BA4-4EAC-9784-E4F9E4C6F36F}" presName="Name37" presStyleLbl="parChTrans1D4" presStyleIdx="24" presStyleCnt="37"/>
      <dgm:spPr/>
    </dgm:pt>
    <dgm:pt modelId="{9EF1E8B1-BD79-4D33-9583-6CA750726153}" type="pres">
      <dgm:prSet presAssocID="{971055BB-A4A3-40DF-B506-54605DDFB45E}" presName="hierRoot2" presStyleCnt="0">
        <dgm:presLayoutVars>
          <dgm:hierBranch val="init"/>
        </dgm:presLayoutVars>
      </dgm:prSet>
      <dgm:spPr/>
    </dgm:pt>
    <dgm:pt modelId="{07DC302F-D4DB-4EBC-9E82-9AFF9BCA0D8E}" type="pres">
      <dgm:prSet presAssocID="{971055BB-A4A3-40DF-B506-54605DDFB45E}" presName="rootComposite" presStyleCnt="0"/>
      <dgm:spPr/>
    </dgm:pt>
    <dgm:pt modelId="{DF49C9AB-B8F0-4060-A5B9-6FA0BFF1534C}" type="pres">
      <dgm:prSet presAssocID="{971055BB-A4A3-40DF-B506-54605DDFB45E}" presName="rootText" presStyleLbl="node4" presStyleIdx="24" presStyleCnt="37">
        <dgm:presLayoutVars>
          <dgm:chPref val="3"/>
        </dgm:presLayoutVars>
      </dgm:prSet>
      <dgm:spPr/>
    </dgm:pt>
    <dgm:pt modelId="{D6C7C9A0-0C6B-456C-B363-30D75AB44259}" type="pres">
      <dgm:prSet presAssocID="{971055BB-A4A3-40DF-B506-54605DDFB45E}" presName="rootConnector" presStyleLbl="node4" presStyleIdx="24" presStyleCnt="37"/>
      <dgm:spPr/>
    </dgm:pt>
    <dgm:pt modelId="{E5679A16-25B4-49A8-B290-CE815BE6DE62}" type="pres">
      <dgm:prSet presAssocID="{971055BB-A4A3-40DF-B506-54605DDFB45E}" presName="hierChild4" presStyleCnt="0"/>
      <dgm:spPr/>
    </dgm:pt>
    <dgm:pt modelId="{4BACE9F7-C8EE-4912-AF9E-8B32CB8DBD50}" type="pres">
      <dgm:prSet presAssocID="{971055BB-A4A3-40DF-B506-54605DDFB45E}" presName="hierChild5" presStyleCnt="0"/>
      <dgm:spPr/>
    </dgm:pt>
    <dgm:pt modelId="{26C03E25-FF64-4F0D-8C01-1A1D89FC99A1}" type="pres">
      <dgm:prSet presAssocID="{534403A8-78E2-443C-BCD5-995FD0C69E07}" presName="Name37" presStyleLbl="parChTrans1D4" presStyleIdx="25" presStyleCnt="37"/>
      <dgm:spPr/>
    </dgm:pt>
    <dgm:pt modelId="{6ACA798F-F9F8-4003-A86C-13B7C228A6E3}" type="pres">
      <dgm:prSet presAssocID="{0ACA9C09-8F23-45A6-9B79-124796FD3FA6}" presName="hierRoot2" presStyleCnt="0">
        <dgm:presLayoutVars>
          <dgm:hierBranch val="init"/>
        </dgm:presLayoutVars>
      </dgm:prSet>
      <dgm:spPr/>
    </dgm:pt>
    <dgm:pt modelId="{3F6913A3-FD8C-4F63-A4A1-E0A1C0D7929C}" type="pres">
      <dgm:prSet presAssocID="{0ACA9C09-8F23-45A6-9B79-124796FD3FA6}" presName="rootComposite" presStyleCnt="0"/>
      <dgm:spPr/>
    </dgm:pt>
    <dgm:pt modelId="{43AD2866-D424-4AF3-A100-EFC5B325B720}" type="pres">
      <dgm:prSet presAssocID="{0ACA9C09-8F23-45A6-9B79-124796FD3FA6}" presName="rootText" presStyleLbl="node4" presStyleIdx="25" presStyleCnt="37">
        <dgm:presLayoutVars>
          <dgm:chPref val="3"/>
        </dgm:presLayoutVars>
      </dgm:prSet>
      <dgm:spPr/>
    </dgm:pt>
    <dgm:pt modelId="{38452ACB-059D-4313-A3C0-746352DA3EC7}" type="pres">
      <dgm:prSet presAssocID="{0ACA9C09-8F23-45A6-9B79-124796FD3FA6}" presName="rootConnector" presStyleLbl="node4" presStyleIdx="25" presStyleCnt="37"/>
      <dgm:spPr/>
    </dgm:pt>
    <dgm:pt modelId="{80439259-4446-4140-8C2D-D38CB7047AAD}" type="pres">
      <dgm:prSet presAssocID="{0ACA9C09-8F23-45A6-9B79-124796FD3FA6}" presName="hierChild4" presStyleCnt="0"/>
      <dgm:spPr/>
    </dgm:pt>
    <dgm:pt modelId="{89E17280-62FA-4621-B9D7-65AEF310A9BD}" type="pres">
      <dgm:prSet presAssocID="{0ACA9C09-8F23-45A6-9B79-124796FD3FA6}" presName="hierChild5" presStyleCnt="0"/>
      <dgm:spPr/>
    </dgm:pt>
    <dgm:pt modelId="{1A9689D5-BDC2-40D0-BACD-244220DD3FB0}" type="pres">
      <dgm:prSet presAssocID="{2E6699B4-D7C0-4907-BDBD-3AF139CF76BA}" presName="Name37" presStyleLbl="parChTrans1D4" presStyleIdx="26" presStyleCnt="37"/>
      <dgm:spPr/>
    </dgm:pt>
    <dgm:pt modelId="{21DC4346-092C-4710-A7E8-B9C35E0AC3E2}" type="pres">
      <dgm:prSet presAssocID="{9BA5D052-04F8-4177-9923-A4FEA4524647}" presName="hierRoot2" presStyleCnt="0">
        <dgm:presLayoutVars>
          <dgm:hierBranch val="init"/>
        </dgm:presLayoutVars>
      </dgm:prSet>
      <dgm:spPr/>
    </dgm:pt>
    <dgm:pt modelId="{CF5A7D85-2CCA-4381-B933-46400D952563}" type="pres">
      <dgm:prSet presAssocID="{9BA5D052-04F8-4177-9923-A4FEA4524647}" presName="rootComposite" presStyleCnt="0"/>
      <dgm:spPr/>
    </dgm:pt>
    <dgm:pt modelId="{FCBBA2A9-5C6A-41BE-97FE-E1F3CF9D436A}" type="pres">
      <dgm:prSet presAssocID="{9BA5D052-04F8-4177-9923-A4FEA4524647}" presName="rootText" presStyleLbl="node4" presStyleIdx="26" presStyleCnt="37">
        <dgm:presLayoutVars>
          <dgm:chPref val="3"/>
        </dgm:presLayoutVars>
      </dgm:prSet>
      <dgm:spPr/>
    </dgm:pt>
    <dgm:pt modelId="{41DE91AE-6FB3-45E3-969B-F3A14899419F}" type="pres">
      <dgm:prSet presAssocID="{9BA5D052-04F8-4177-9923-A4FEA4524647}" presName="rootConnector" presStyleLbl="node4" presStyleIdx="26" presStyleCnt="37"/>
      <dgm:spPr/>
    </dgm:pt>
    <dgm:pt modelId="{7650159B-4FEE-43FF-801D-20E8C0E30ED6}" type="pres">
      <dgm:prSet presAssocID="{9BA5D052-04F8-4177-9923-A4FEA4524647}" presName="hierChild4" presStyleCnt="0"/>
      <dgm:spPr/>
    </dgm:pt>
    <dgm:pt modelId="{F980364A-0FF9-4640-A251-B3CA766F3CF2}" type="pres">
      <dgm:prSet presAssocID="{9BA5D052-04F8-4177-9923-A4FEA4524647}" presName="hierChild5" presStyleCnt="0"/>
      <dgm:spPr/>
    </dgm:pt>
    <dgm:pt modelId="{33E8EBCD-330D-4159-85A7-FFCDEC90A699}" type="pres">
      <dgm:prSet presAssocID="{47A20913-4A00-4A4F-AF25-41A6AF336370}" presName="Name37" presStyleLbl="parChTrans1D4" presStyleIdx="27" presStyleCnt="37"/>
      <dgm:spPr/>
    </dgm:pt>
    <dgm:pt modelId="{BD6CC24F-0C2E-4CB7-9BC6-D2E2F5B6647D}" type="pres">
      <dgm:prSet presAssocID="{395B0B9C-8BE5-4D37-98FF-538F94774664}" presName="hierRoot2" presStyleCnt="0">
        <dgm:presLayoutVars>
          <dgm:hierBranch val="init"/>
        </dgm:presLayoutVars>
      </dgm:prSet>
      <dgm:spPr/>
    </dgm:pt>
    <dgm:pt modelId="{F97D8A62-1F2A-42D7-9421-B945021B62F8}" type="pres">
      <dgm:prSet presAssocID="{395B0B9C-8BE5-4D37-98FF-538F94774664}" presName="rootComposite" presStyleCnt="0"/>
      <dgm:spPr/>
    </dgm:pt>
    <dgm:pt modelId="{F0D0E67C-C846-484A-B367-108D466DB8D7}" type="pres">
      <dgm:prSet presAssocID="{395B0B9C-8BE5-4D37-98FF-538F94774664}" presName="rootText" presStyleLbl="node4" presStyleIdx="27" presStyleCnt="37">
        <dgm:presLayoutVars>
          <dgm:chPref val="3"/>
        </dgm:presLayoutVars>
      </dgm:prSet>
      <dgm:spPr/>
    </dgm:pt>
    <dgm:pt modelId="{DB3C6A4B-3272-4325-9E35-F20BD263E93A}" type="pres">
      <dgm:prSet presAssocID="{395B0B9C-8BE5-4D37-98FF-538F94774664}" presName="rootConnector" presStyleLbl="node4" presStyleIdx="27" presStyleCnt="37"/>
      <dgm:spPr/>
    </dgm:pt>
    <dgm:pt modelId="{1AAFBA64-CF2E-4E66-83F4-79E498E309F3}" type="pres">
      <dgm:prSet presAssocID="{395B0B9C-8BE5-4D37-98FF-538F94774664}" presName="hierChild4" presStyleCnt="0"/>
      <dgm:spPr/>
    </dgm:pt>
    <dgm:pt modelId="{CDCC0E1D-0FA8-4BBF-8FB0-C50E77AC6A24}" type="pres">
      <dgm:prSet presAssocID="{395B0B9C-8BE5-4D37-98FF-538F94774664}" presName="hierChild5" presStyleCnt="0"/>
      <dgm:spPr/>
    </dgm:pt>
    <dgm:pt modelId="{8AFD83CB-0079-4CEE-A6B1-A2A079C57330}" type="pres">
      <dgm:prSet presAssocID="{B3F45023-E1E3-43C0-B67F-AD1E7AC51078}" presName="hierChild5" presStyleCnt="0"/>
      <dgm:spPr/>
    </dgm:pt>
    <dgm:pt modelId="{C18C8C27-4D85-44E0-9555-9E94F51FE052}" type="pres">
      <dgm:prSet presAssocID="{D5E38E4B-FED5-4A0A-B8AA-8728BED387A3}" presName="hierChild5" presStyleCnt="0"/>
      <dgm:spPr/>
    </dgm:pt>
    <dgm:pt modelId="{2B328CA6-5677-4434-A248-9950F6EFDE28}" type="pres">
      <dgm:prSet presAssocID="{0E0D5914-9733-4438-B53B-E54AED87BD25}" presName="hierChild5" presStyleCnt="0"/>
      <dgm:spPr/>
    </dgm:pt>
    <dgm:pt modelId="{059C22EE-4EA1-4A4E-8BEA-6527B19C8640}" type="pres">
      <dgm:prSet presAssocID="{E9CCBF3B-F7D4-491B-83ED-166AFDD5DD30}" presName="Name37" presStyleLbl="parChTrans1D2" presStyleIdx="5" presStyleCnt="11"/>
      <dgm:spPr/>
    </dgm:pt>
    <dgm:pt modelId="{2587A343-6BD7-4FCC-A19A-143BF4DB2A87}" type="pres">
      <dgm:prSet presAssocID="{025397C8-278A-4FB7-A986-A1B487EA1563}" presName="hierRoot2" presStyleCnt="0">
        <dgm:presLayoutVars>
          <dgm:hierBranch val="init"/>
        </dgm:presLayoutVars>
      </dgm:prSet>
      <dgm:spPr/>
    </dgm:pt>
    <dgm:pt modelId="{6CE243E6-D34F-4AA6-B29F-8A276FC9B4FC}" type="pres">
      <dgm:prSet presAssocID="{025397C8-278A-4FB7-A986-A1B487EA1563}" presName="rootComposite" presStyleCnt="0"/>
      <dgm:spPr/>
    </dgm:pt>
    <dgm:pt modelId="{DC606F7D-0512-4822-84C6-5204BC7E58AA}" type="pres">
      <dgm:prSet presAssocID="{025397C8-278A-4FB7-A986-A1B487EA1563}" presName="rootText" presStyleLbl="node2" presStyleIdx="5" presStyleCnt="11">
        <dgm:presLayoutVars>
          <dgm:chPref val="3"/>
        </dgm:presLayoutVars>
      </dgm:prSet>
      <dgm:spPr/>
    </dgm:pt>
    <dgm:pt modelId="{7F43DBEE-B60F-4C19-A3B0-BF5701214A5E}" type="pres">
      <dgm:prSet presAssocID="{025397C8-278A-4FB7-A986-A1B487EA1563}" presName="rootConnector" presStyleLbl="node2" presStyleIdx="5" presStyleCnt="11"/>
      <dgm:spPr/>
    </dgm:pt>
    <dgm:pt modelId="{92884380-F839-4BF8-A6D1-2F3C2CA92AB5}" type="pres">
      <dgm:prSet presAssocID="{025397C8-278A-4FB7-A986-A1B487EA1563}" presName="hierChild4" presStyleCnt="0"/>
      <dgm:spPr/>
    </dgm:pt>
    <dgm:pt modelId="{1FB9DFAA-3011-404B-B2FB-82DE1D530E40}" type="pres">
      <dgm:prSet presAssocID="{F9922145-9B07-49CE-9FA6-B33C82D2B167}" presName="Name37" presStyleLbl="parChTrans1D3" presStyleIdx="15" presStyleCnt="33"/>
      <dgm:spPr/>
    </dgm:pt>
    <dgm:pt modelId="{2B416C8F-E48C-4950-8E21-E9A666CB23C0}" type="pres">
      <dgm:prSet presAssocID="{E2157045-4CE0-40CE-9C58-F4043DF91E33}" presName="hierRoot2" presStyleCnt="0">
        <dgm:presLayoutVars>
          <dgm:hierBranch val="init"/>
        </dgm:presLayoutVars>
      </dgm:prSet>
      <dgm:spPr/>
    </dgm:pt>
    <dgm:pt modelId="{4E5D6ABA-4D4D-49D8-930E-CDC8E0354FB2}" type="pres">
      <dgm:prSet presAssocID="{E2157045-4CE0-40CE-9C58-F4043DF91E33}" presName="rootComposite" presStyleCnt="0"/>
      <dgm:spPr/>
    </dgm:pt>
    <dgm:pt modelId="{6C7766F8-3CA4-4B55-A2B1-A9A57BDBAE31}" type="pres">
      <dgm:prSet presAssocID="{E2157045-4CE0-40CE-9C58-F4043DF91E33}" presName="rootText" presStyleLbl="node3" presStyleIdx="15" presStyleCnt="33">
        <dgm:presLayoutVars>
          <dgm:chPref val="3"/>
        </dgm:presLayoutVars>
      </dgm:prSet>
      <dgm:spPr/>
    </dgm:pt>
    <dgm:pt modelId="{FA9F7A91-9535-4A9D-A525-1C7B52AA3CAD}" type="pres">
      <dgm:prSet presAssocID="{E2157045-4CE0-40CE-9C58-F4043DF91E33}" presName="rootConnector" presStyleLbl="node3" presStyleIdx="15" presStyleCnt="33"/>
      <dgm:spPr/>
    </dgm:pt>
    <dgm:pt modelId="{F0A8852E-A81E-4A81-9901-83DBE881B4F2}" type="pres">
      <dgm:prSet presAssocID="{E2157045-4CE0-40CE-9C58-F4043DF91E33}" presName="hierChild4" presStyleCnt="0"/>
      <dgm:spPr/>
    </dgm:pt>
    <dgm:pt modelId="{4FC409BD-916B-4F90-A7EF-4CF2F8219E7F}" type="pres">
      <dgm:prSet presAssocID="{E2157045-4CE0-40CE-9C58-F4043DF91E33}" presName="hierChild5" presStyleCnt="0"/>
      <dgm:spPr/>
    </dgm:pt>
    <dgm:pt modelId="{0C03C1CE-E351-4370-B37B-BCBBA6EACE73}" type="pres">
      <dgm:prSet presAssocID="{7B0E8674-AF5F-4D43-BDCB-E4D39514593E}" presName="Name37" presStyleLbl="parChTrans1D3" presStyleIdx="16" presStyleCnt="33"/>
      <dgm:spPr/>
    </dgm:pt>
    <dgm:pt modelId="{F450406A-CE7B-499A-83F6-64520A2C610B}" type="pres">
      <dgm:prSet presAssocID="{602FD50F-130C-4E3A-A16E-AF79EACA12AD}" presName="hierRoot2" presStyleCnt="0">
        <dgm:presLayoutVars>
          <dgm:hierBranch val="init"/>
        </dgm:presLayoutVars>
      </dgm:prSet>
      <dgm:spPr/>
    </dgm:pt>
    <dgm:pt modelId="{F17DEFCE-8640-4795-8F05-62D58D2E4037}" type="pres">
      <dgm:prSet presAssocID="{602FD50F-130C-4E3A-A16E-AF79EACA12AD}" presName="rootComposite" presStyleCnt="0"/>
      <dgm:spPr/>
    </dgm:pt>
    <dgm:pt modelId="{4FCB0235-D840-4E32-AF87-A5EC10F1D21A}" type="pres">
      <dgm:prSet presAssocID="{602FD50F-130C-4E3A-A16E-AF79EACA12AD}" presName="rootText" presStyleLbl="node3" presStyleIdx="16" presStyleCnt="33">
        <dgm:presLayoutVars>
          <dgm:chPref val="3"/>
        </dgm:presLayoutVars>
      </dgm:prSet>
      <dgm:spPr/>
    </dgm:pt>
    <dgm:pt modelId="{EA1226AD-A4C8-4D20-BD8F-018378C4C7BD}" type="pres">
      <dgm:prSet presAssocID="{602FD50F-130C-4E3A-A16E-AF79EACA12AD}" presName="rootConnector" presStyleLbl="node3" presStyleIdx="16" presStyleCnt="33"/>
      <dgm:spPr/>
    </dgm:pt>
    <dgm:pt modelId="{80E3AE57-B862-474F-88AF-4F6FE00DF30E}" type="pres">
      <dgm:prSet presAssocID="{602FD50F-130C-4E3A-A16E-AF79EACA12AD}" presName="hierChild4" presStyleCnt="0"/>
      <dgm:spPr/>
    </dgm:pt>
    <dgm:pt modelId="{0F0E421F-04B6-44B2-A118-4C81DADD76E6}" type="pres">
      <dgm:prSet presAssocID="{602FD50F-130C-4E3A-A16E-AF79EACA12AD}" presName="hierChild5" presStyleCnt="0"/>
      <dgm:spPr/>
    </dgm:pt>
    <dgm:pt modelId="{F790520A-43F4-4739-A2CA-F8C4C7F8482F}" type="pres">
      <dgm:prSet presAssocID="{6EAA41E0-1525-42E3-A200-48C0FE921E72}" presName="Name37" presStyleLbl="parChTrans1D3" presStyleIdx="17" presStyleCnt="33"/>
      <dgm:spPr/>
    </dgm:pt>
    <dgm:pt modelId="{990E28DA-7CF5-4502-90A8-328AC5740EB3}" type="pres">
      <dgm:prSet presAssocID="{E5E9916D-2D7F-4C7A-A808-9D88F35BEC5A}" presName="hierRoot2" presStyleCnt="0">
        <dgm:presLayoutVars>
          <dgm:hierBranch val="init"/>
        </dgm:presLayoutVars>
      </dgm:prSet>
      <dgm:spPr/>
    </dgm:pt>
    <dgm:pt modelId="{796BDDAE-9769-4B6C-B664-C99AB1F1EA6B}" type="pres">
      <dgm:prSet presAssocID="{E5E9916D-2D7F-4C7A-A808-9D88F35BEC5A}" presName="rootComposite" presStyleCnt="0"/>
      <dgm:spPr/>
    </dgm:pt>
    <dgm:pt modelId="{0A63D2F4-C327-4936-997D-E8A37FF9B974}" type="pres">
      <dgm:prSet presAssocID="{E5E9916D-2D7F-4C7A-A808-9D88F35BEC5A}" presName="rootText" presStyleLbl="node3" presStyleIdx="17" presStyleCnt="33">
        <dgm:presLayoutVars>
          <dgm:chPref val="3"/>
        </dgm:presLayoutVars>
      </dgm:prSet>
      <dgm:spPr/>
    </dgm:pt>
    <dgm:pt modelId="{37BC9415-6238-4077-808B-B5AF5E0C13B3}" type="pres">
      <dgm:prSet presAssocID="{E5E9916D-2D7F-4C7A-A808-9D88F35BEC5A}" presName="rootConnector" presStyleLbl="node3" presStyleIdx="17" presStyleCnt="33"/>
      <dgm:spPr/>
    </dgm:pt>
    <dgm:pt modelId="{2B5F8F5D-9B5C-4780-ABE5-8F9BF4049143}" type="pres">
      <dgm:prSet presAssocID="{E5E9916D-2D7F-4C7A-A808-9D88F35BEC5A}" presName="hierChild4" presStyleCnt="0"/>
      <dgm:spPr/>
    </dgm:pt>
    <dgm:pt modelId="{C06FB175-2E03-4F73-BF54-1A055FD264D0}" type="pres">
      <dgm:prSet presAssocID="{E5E9916D-2D7F-4C7A-A808-9D88F35BEC5A}" presName="hierChild5" presStyleCnt="0"/>
      <dgm:spPr/>
    </dgm:pt>
    <dgm:pt modelId="{A5FDA1D4-6378-4EF9-BE53-33B64A9F7567}" type="pres">
      <dgm:prSet presAssocID="{025397C8-278A-4FB7-A986-A1B487EA1563}" presName="hierChild5" presStyleCnt="0"/>
      <dgm:spPr/>
    </dgm:pt>
    <dgm:pt modelId="{5A3C222E-EA04-469D-B2A5-428B109ED3E0}" type="pres">
      <dgm:prSet presAssocID="{3F1B0426-4EA2-44D9-B786-B19B57D5CDEA}" presName="Name37" presStyleLbl="parChTrans1D2" presStyleIdx="6" presStyleCnt="11"/>
      <dgm:spPr/>
    </dgm:pt>
    <dgm:pt modelId="{0B7AC5A3-C251-4ACD-AFC5-DB05A39ED77E}" type="pres">
      <dgm:prSet presAssocID="{8BB75C25-BB24-48E5-95A1-BDDD2AD67385}" presName="hierRoot2" presStyleCnt="0">
        <dgm:presLayoutVars>
          <dgm:hierBranch val="init"/>
        </dgm:presLayoutVars>
      </dgm:prSet>
      <dgm:spPr/>
    </dgm:pt>
    <dgm:pt modelId="{4EB69B21-5E38-4A29-8AE2-51958DD105CD}" type="pres">
      <dgm:prSet presAssocID="{8BB75C25-BB24-48E5-95A1-BDDD2AD67385}" presName="rootComposite" presStyleCnt="0"/>
      <dgm:spPr/>
    </dgm:pt>
    <dgm:pt modelId="{4CE408D0-F3D2-47E9-9B4D-994714D670D2}" type="pres">
      <dgm:prSet presAssocID="{8BB75C25-BB24-48E5-95A1-BDDD2AD67385}" presName="rootText" presStyleLbl="node2" presStyleIdx="6" presStyleCnt="11">
        <dgm:presLayoutVars>
          <dgm:chPref val="3"/>
        </dgm:presLayoutVars>
      </dgm:prSet>
      <dgm:spPr/>
    </dgm:pt>
    <dgm:pt modelId="{0C119077-4FBF-401B-9C59-35B6841A35C3}" type="pres">
      <dgm:prSet presAssocID="{8BB75C25-BB24-48E5-95A1-BDDD2AD67385}" presName="rootConnector" presStyleLbl="node2" presStyleIdx="6" presStyleCnt="11"/>
      <dgm:spPr/>
    </dgm:pt>
    <dgm:pt modelId="{39B157A7-232F-4B4B-9C8C-698FDA17D505}" type="pres">
      <dgm:prSet presAssocID="{8BB75C25-BB24-48E5-95A1-BDDD2AD67385}" presName="hierChild4" presStyleCnt="0"/>
      <dgm:spPr/>
    </dgm:pt>
    <dgm:pt modelId="{833B4291-B94B-47C3-BE6D-A02B174BB6AF}" type="pres">
      <dgm:prSet presAssocID="{50F4CB47-0DB9-4B1E-9C75-49682DAC2BF7}" presName="Name37" presStyleLbl="parChTrans1D3" presStyleIdx="18" presStyleCnt="33"/>
      <dgm:spPr/>
    </dgm:pt>
    <dgm:pt modelId="{DB0BEB81-9B5C-42E9-A03D-A607959BB697}" type="pres">
      <dgm:prSet presAssocID="{D6F5CD79-D3E1-4B19-9C25-479267A00537}" presName="hierRoot2" presStyleCnt="0">
        <dgm:presLayoutVars>
          <dgm:hierBranch val="init"/>
        </dgm:presLayoutVars>
      </dgm:prSet>
      <dgm:spPr/>
    </dgm:pt>
    <dgm:pt modelId="{272D7932-42C8-4B1A-9A1E-1FF9961D5050}" type="pres">
      <dgm:prSet presAssocID="{D6F5CD79-D3E1-4B19-9C25-479267A00537}" presName="rootComposite" presStyleCnt="0"/>
      <dgm:spPr/>
    </dgm:pt>
    <dgm:pt modelId="{C83F4A0E-1E92-4983-AFFC-CBBF607C3D31}" type="pres">
      <dgm:prSet presAssocID="{D6F5CD79-D3E1-4B19-9C25-479267A00537}" presName="rootText" presStyleLbl="node3" presStyleIdx="18" presStyleCnt="33">
        <dgm:presLayoutVars>
          <dgm:chPref val="3"/>
        </dgm:presLayoutVars>
      </dgm:prSet>
      <dgm:spPr/>
    </dgm:pt>
    <dgm:pt modelId="{C98E2A45-B8C9-435A-AB15-A376A21595F3}" type="pres">
      <dgm:prSet presAssocID="{D6F5CD79-D3E1-4B19-9C25-479267A00537}" presName="rootConnector" presStyleLbl="node3" presStyleIdx="18" presStyleCnt="33"/>
      <dgm:spPr/>
    </dgm:pt>
    <dgm:pt modelId="{D57D0DC5-DD58-42D0-8F7E-FB931DB87F7B}" type="pres">
      <dgm:prSet presAssocID="{D6F5CD79-D3E1-4B19-9C25-479267A00537}" presName="hierChild4" presStyleCnt="0"/>
      <dgm:spPr/>
    </dgm:pt>
    <dgm:pt modelId="{D9233897-B285-4633-91EF-E2FB2CD1D1E4}" type="pres">
      <dgm:prSet presAssocID="{0EE6ECD5-A3CE-456C-8DA8-E2FCAC0825C8}" presName="Name37" presStyleLbl="parChTrans1D4" presStyleIdx="28" presStyleCnt="37"/>
      <dgm:spPr/>
    </dgm:pt>
    <dgm:pt modelId="{85457D89-5182-4996-88B0-32FA106CF68D}" type="pres">
      <dgm:prSet presAssocID="{0D1A6C0B-79D7-47A2-B0F4-33C072B0AAEA}" presName="hierRoot2" presStyleCnt="0">
        <dgm:presLayoutVars>
          <dgm:hierBranch val="init"/>
        </dgm:presLayoutVars>
      </dgm:prSet>
      <dgm:spPr/>
    </dgm:pt>
    <dgm:pt modelId="{B70B31EF-6BFC-4E82-90B5-6A79871CC603}" type="pres">
      <dgm:prSet presAssocID="{0D1A6C0B-79D7-47A2-B0F4-33C072B0AAEA}" presName="rootComposite" presStyleCnt="0"/>
      <dgm:spPr/>
    </dgm:pt>
    <dgm:pt modelId="{E215F77F-8CA8-4A30-9C75-86BA56D3C21F}" type="pres">
      <dgm:prSet presAssocID="{0D1A6C0B-79D7-47A2-B0F4-33C072B0AAEA}" presName="rootText" presStyleLbl="node4" presStyleIdx="28" presStyleCnt="37">
        <dgm:presLayoutVars>
          <dgm:chPref val="3"/>
        </dgm:presLayoutVars>
      </dgm:prSet>
      <dgm:spPr/>
    </dgm:pt>
    <dgm:pt modelId="{D7CBFE04-5150-46BC-8194-F90D3CA81AC8}" type="pres">
      <dgm:prSet presAssocID="{0D1A6C0B-79D7-47A2-B0F4-33C072B0AAEA}" presName="rootConnector" presStyleLbl="node4" presStyleIdx="28" presStyleCnt="37"/>
      <dgm:spPr/>
    </dgm:pt>
    <dgm:pt modelId="{73100072-3E96-4F79-B304-02DEC565990A}" type="pres">
      <dgm:prSet presAssocID="{0D1A6C0B-79D7-47A2-B0F4-33C072B0AAEA}" presName="hierChild4" presStyleCnt="0"/>
      <dgm:spPr/>
    </dgm:pt>
    <dgm:pt modelId="{3906BA54-8455-452C-BA44-FDA42C46F17F}" type="pres">
      <dgm:prSet presAssocID="{0D1A6C0B-79D7-47A2-B0F4-33C072B0AAEA}" presName="hierChild5" presStyleCnt="0"/>
      <dgm:spPr/>
    </dgm:pt>
    <dgm:pt modelId="{8563C7A7-10D4-41EF-B4D0-EC0F5DA9C051}" type="pres">
      <dgm:prSet presAssocID="{24E2A750-A25B-4634-A2F1-F44DEFB9DCCF}" presName="Name37" presStyleLbl="parChTrans1D4" presStyleIdx="29" presStyleCnt="37"/>
      <dgm:spPr/>
    </dgm:pt>
    <dgm:pt modelId="{F7CC40E9-0E53-4C2D-BEFC-21B1BCF93645}" type="pres">
      <dgm:prSet presAssocID="{78FB916E-F97F-44B1-B3A4-DE90A19BAA02}" presName="hierRoot2" presStyleCnt="0">
        <dgm:presLayoutVars>
          <dgm:hierBranch val="init"/>
        </dgm:presLayoutVars>
      </dgm:prSet>
      <dgm:spPr/>
    </dgm:pt>
    <dgm:pt modelId="{DF2A6F55-988A-4BE2-8468-68E6461511CF}" type="pres">
      <dgm:prSet presAssocID="{78FB916E-F97F-44B1-B3A4-DE90A19BAA02}" presName="rootComposite" presStyleCnt="0"/>
      <dgm:spPr/>
    </dgm:pt>
    <dgm:pt modelId="{B2F4EA58-C736-4168-8B7E-208A9B8BD3E7}" type="pres">
      <dgm:prSet presAssocID="{78FB916E-F97F-44B1-B3A4-DE90A19BAA02}" presName="rootText" presStyleLbl="node4" presStyleIdx="29" presStyleCnt="37">
        <dgm:presLayoutVars>
          <dgm:chPref val="3"/>
        </dgm:presLayoutVars>
      </dgm:prSet>
      <dgm:spPr/>
    </dgm:pt>
    <dgm:pt modelId="{B2CFB48C-7997-4644-987C-7D4E545BF78C}" type="pres">
      <dgm:prSet presAssocID="{78FB916E-F97F-44B1-B3A4-DE90A19BAA02}" presName="rootConnector" presStyleLbl="node4" presStyleIdx="29" presStyleCnt="37"/>
      <dgm:spPr/>
    </dgm:pt>
    <dgm:pt modelId="{F829AA3B-7EF1-4C58-9B0F-B5297A37DB52}" type="pres">
      <dgm:prSet presAssocID="{78FB916E-F97F-44B1-B3A4-DE90A19BAA02}" presName="hierChild4" presStyleCnt="0"/>
      <dgm:spPr/>
    </dgm:pt>
    <dgm:pt modelId="{5B056663-6FE5-4B08-ABF3-DB884A9FA1A0}" type="pres">
      <dgm:prSet presAssocID="{78FB916E-F97F-44B1-B3A4-DE90A19BAA02}" presName="hierChild5" presStyleCnt="0"/>
      <dgm:spPr/>
    </dgm:pt>
    <dgm:pt modelId="{2DCCF489-911C-4862-9293-EA9511EE6422}" type="pres">
      <dgm:prSet presAssocID="{5CD779A3-A461-48BE-8306-4AEC359C9657}" presName="Name37" presStyleLbl="parChTrans1D4" presStyleIdx="30" presStyleCnt="37"/>
      <dgm:spPr/>
    </dgm:pt>
    <dgm:pt modelId="{70736AE1-AD18-407F-8A47-537F7A27C706}" type="pres">
      <dgm:prSet presAssocID="{3E6F3F79-ED3B-46F1-959B-8150A5EAAD1A}" presName="hierRoot2" presStyleCnt="0">
        <dgm:presLayoutVars>
          <dgm:hierBranch val="init"/>
        </dgm:presLayoutVars>
      </dgm:prSet>
      <dgm:spPr/>
    </dgm:pt>
    <dgm:pt modelId="{1FB15BD7-5AF8-4827-B210-5E27DE899D48}" type="pres">
      <dgm:prSet presAssocID="{3E6F3F79-ED3B-46F1-959B-8150A5EAAD1A}" presName="rootComposite" presStyleCnt="0"/>
      <dgm:spPr/>
    </dgm:pt>
    <dgm:pt modelId="{9D869396-0DB3-4E56-B5C3-B8ECD17AE0CF}" type="pres">
      <dgm:prSet presAssocID="{3E6F3F79-ED3B-46F1-959B-8150A5EAAD1A}" presName="rootText" presStyleLbl="node4" presStyleIdx="30" presStyleCnt="37">
        <dgm:presLayoutVars>
          <dgm:chPref val="3"/>
        </dgm:presLayoutVars>
      </dgm:prSet>
      <dgm:spPr/>
    </dgm:pt>
    <dgm:pt modelId="{7A95AA17-EB91-472F-BD43-D8E331A52BA6}" type="pres">
      <dgm:prSet presAssocID="{3E6F3F79-ED3B-46F1-959B-8150A5EAAD1A}" presName="rootConnector" presStyleLbl="node4" presStyleIdx="30" presStyleCnt="37"/>
      <dgm:spPr/>
    </dgm:pt>
    <dgm:pt modelId="{B909E0A2-1EF6-4073-B96F-4895AC56EE17}" type="pres">
      <dgm:prSet presAssocID="{3E6F3F79-ED3B-46F1-959B-8150A5EAAD1A}" presName="hierChild4" presStyleCnt="0"/>
      <dgm:spPr/>
    </dgm:pt>
    <dgm:pt modelId="{A61B55B2-0C4F-44E6-9833-C60B5EC03C6D}" type="pres">
      <dgm:prSet presAssocID="{3E6F3F79-ED3B-46F1-959B-8150A5EAAD1A}" presName="hierChild5" presStyleCnt="0"/>
      <dgm:spPr/>
    </dgm:pt>
    <dgm:pt modelId="{E70C8E3B-46CC-4C96-887F-C661A65260F3}" type="pres">
      <dgm:prSet presAssocID="{D6F5CD79-D3E1-4B19-9C25-479267A00537}" presName="hierChild5" presStyleCnt="0"/>
      <dgm:spPr/>
    </dgm:pt>
    <dgm:pt modelId="{641F49A3-7FBD-4DB2-A80E-FB04E19A7278}" type="pres">
      <dgm:prSet presAssocID="{2F5FEFC0-AA7D-4353-A4DF-4F4559B2E5DE}" presName="Name37" presStyleLbl="parChTrans1D3" presStyleIdx="19" presStyleCnt="33"/>
      <dgm:spPr/>
    </dgm:pt>
    <dgm:pt modelId="{87E8F7D6-7FEA-4A0B-8172-E2B574B3CC33}" type="pres">
      <dgm:prSet presAssocID="{4D84D968-1444-4AA9-857D-6156565CA06D}" presName="hierRoot2" presStyleCnt="0">
        <dgm:presLayoutVars>
          <dgm:hierBranch val="init"/>
        </dgm:presLayoutVars>
      </dgm:prSet>
      <dgm:spPr/>
    </dgm:pt>
    <dgm:pt modelId="{245BB9C8-BB27-4140-832C-C02CF771BA78}" type="pres">
      <dgm:prSet presAssocID="{4D84D968-1444-4AA9-857D-6156565CA06D}" presName="rootComposite" presStyleCnt="0"/>
      <dgm:spPr/>
    </dgm:pt>
    <dgm:pt modelId="{F7FDFD22-E9B9-453B-AFC5-19DA41875544}" type="pres">
      <dgm:prSet presAssocID="{4D84D968-1444-4AA9-857D-6156565CA06D}" presName="rootText" presStyleLbl="node3" presStyleIdx="19" presStyleCnt="33">
        <dgm:presLayoutVars>
          <dgm:chPref val="3"/>
        </dgm:presLayoutVars>
      </dgm:prSet>
      <dgm:spPr/>
    </dgm:pt>
    <dgm:pt modelId="{A0D9892B-5A22-4162-8B10-B681BCAC2335}" type="pres">
      <dgm:prSet presAssocID="{4D84D968-1444-4AA9-857D-6156565CA06D}" presName="rootConnector" presStyleLbl="node3" presStyleIdx="19" presStyleCnt="33"/>
      <dgm:spPr/>
    </dgm:pt>
    <dgm:pt modelId="{8663888B-2BA5-4CDF-AADD-99EFBF689DBD}" type="pres">
      <dgm:prSet presAssocID="{4D84D968-1444-4AA9-857D-6156565CA06D}" presName="hierChild4" presStyleCnt="0"/>
      <dgm:spPr/>
    </dgm:pt>
    <dgm:pt modelId="{B1335B4F-1103-4BCB-A00E-16B6A60F8564}" type="pres">
      <dgm:prSet presAssocID="{47A38D87-1F99-47B5-8B83-1A291E09C85B}" presName="Name37" presStyleLbl="parChTrans1D4" presStyleIdx="31" presStyleCnt="37"/>
      <dgm:spPr/>
    </dgm:pt>
    <dgm:pt modelId="{6364282A-1D30-4D5B-A978-680A0A230143}" type="pres">
      <dgm:prSet presAssocID="{3744F6C1-88E2-47A7-9163-48169ED23270}" presName="hierRoot2" presStyleCnt="0">
        <dgm:presLayoutVars>
          <dgm:hierBranch val="init"/>
        </dgm:presLayoutVars>
      </dgm:prSet>
      <dgm:spPr/>
    </dgm:pt>
    <dgm:pt modelId="{8D9CE445-E503-42CD-B74A-5629EC7EB91C}" type="pres">
      <dgm:prSet presAssocID="{3744F6C1-88E2-47A7-9163-48169ED23270}" presName="rootComposite" presStyleCnt="0"/>
      <dgm:spPr/>
    </dgm:pt>
    <dgm:pt modelId="{98635E63-D08B-443D-A7B8-991D83873676}" type="pres">
      <dgm:prSet presAssocID="{3744F6C1-88E2-47A7-9163-48169ED23270}" presName="rootText" presStyleLbl="node4" presStyleIdx="31" presStyleCnt="37">
        <dgm:presLayoutVars>
          <dgm:chPref val="3"/>
        </dgm:presLayoutVars>
      </dgm:prSet>
      <dgm:spPr/>
    </dgm:pt>
    <dgm:pt modelId="{F71224A8-ACCD-4895-A731-85DCA6D569ED}" type="pres">
      <dgm:prSet presAssocID="{3744F6C1-88E2-47A7-9163-48169ED23270}" presName="rootConnector" presStyleLbl="node4" presStyleIdx="31" presStyleCnt="37"/>
      <dgm:spPr/>
    </dgm:pt>
    <dgm:pt modelId="{4C6C5E3C-0791-4D70-99A2-469C0B46EFC1}" type="pres">
      <dgm:prSet presAssocID="{3744F6C1-88E2-47A7-9163-48169ED23270}" presName="hierChild4" presStyleCnt="0"/>
      <dgm:spPr/>
    </dgm:pt>
    <dgm:pt modelId="{CD262267-C084-4A74-BF8A-0DD51D18B6C8}" type="pres">
      <dgm:prSet presAssocID="{3744F6C1-88E2-47A7-9163-48169ED23270}" presName="hierChild5" presStyleCnt="0"/>
      <dgm:spPr/>
    </dgm:pt>
    <dgm:pt modelId="{18C7F633-FF25-4B4E-95EE-D064E36269C0}" type="pres">
      <dgm:prSet presAssocID="{1A2F6BDF-FA27-407A-815F-CCC26416743E}" presName="Name37" presStyleLbl="parChTrans1D4" presStyleIdx="32" presStyleCnt="37"/>
      <dgm:spPr/>
    </dgm:pt>
    <dgm:pt modelId="{BD97EF7B-693E-4164-AF75-2436A1F17EE9}" type="pres">
      <dgm:prSet presAssocID="{368C1CBB-3E33-47ED-9D57-F0B7BCA1FCAF}" presName="hierRoot2" presStyleCnt="0">
        <dgm:presLayoutVars>
          <dgm:hierBranch val="init"/>
        </dgm:presLayoutVars>
      </dgm:prSet>
      <dgm:spPr/>
    </dgm:pt>
    <dgm:pt modelId="{D677E695-F0D0-4D67-BD09-D07A06426E93}" type="pres">
      <dgm:prSet presAssocID="{368C1CBB-3E33-47ED-9D57-F0B7BCA1FCAF}" presName="rootComposite" presStyleCnt="0"/>
      <dgm:spPr/>
    </dgm:pt>
    <dgm:pt modelId="{D440159E-E985-4C77-AF65-E9414A6578AE}" type="pres">
      <dgm:prSet presAssocID="{368C1CBB-3E33-47ED-9D57-F0B7BCA1FCAF}" presName="rootText" presStyleLbl="node4" presStyleIdx="32" presStyleCnt="37">
        <dgm:presLayoutVars>
          <dgm:chPref val="3"/>
        </dgm:presLayoutVars>
      </dgm:prSet>
      <dgm:spPr/>
    </dgm:pt>
    <dgm:pt modelId="{EEDD93FC-0386-48CA-8279-C8F566D62129}" type="pres">
      <dgm:prSet presAssocID="{368C1CBB-3E33-47ED-9D57-F0B7BCA1FCAF}" presName="rootConnector" presStyleLbl="node4" presStyleIdx="32" presStyleCnt="37"/>
      <dgm:spPr/>
    </dgm:pt>
    <dgm:pt modelId="{98BA9030-87C6-4B5F-9B69-33BDB1E6424E}" type="pres">
      <dgm:prSet presAssocID="{368C1CBB-3E33-47ED-9D57-F0B7BCA1FCAF}" presName="hierChild4" presStyleCnt="0"/>
      <dgm:spPr/>
    </dgm:pt>
    <dgm:pt modelId="{43E850C2-7927-4A08-9670-C5B3E8CAE7ED}" type="pres">
      <dgm:prSet presAssocID="{368C1CBB-3E33-47ED-9D57-F0B7BCA1FCAF}" presName="hierChild5" presStyleCnt="0"/>
      <dgm:spPr/>
    </dgm:pt>
    <dgm:pt modelId="{A5E5CA5F-4423-4EEB-A2AC-9E4EFF47ECFC}" type="pres">
      <dgm:prSet presAssocID="{E3E1282F-88A6-4E37-8ADF-21463FF4DBF1}" presName="Name37" presStyleLbl="parChTrans1D4" presStyleIdx="33" presStyleCnt="37"/>
      <dgm:spPr/>
    </dgm:pt>
    <dgm:pt modelId="{FD25AD94-F928-4230-8A22-853551FE23B4}" type="pres">
      <dgm:prSet presAssocID="{3E4366ED-56BD-4CD2-B25D-EC6A6CBD67C3}" presName="hierRoot2" presStyleCnt="0">
        <dgm:presLayoutVars>
          <dgm:hierBranch val="init"/>
        </dgm:presLayoutVars>
      </dgm:prSet>
      <dgm:spPr/>
    </dgm:pt>
    <dgm:pt modelId="{A43BC864-8575-4B41-AD33-CD41D4C63AF0}" type="pres">
      <dgm:prSet presAssocID="{3E4366ED-56BD-4CD2-B25D-EC6A6CBD67C3}" presName="rootComposite" presStyleCnt="0"/>
      <dgm:spPr/>
    </dgm:pt>
    <dgm:pt modelId="{23D87327-71F4-48D0-986F-7F66A9CA5030}" type="pres">
      <dgm:prSet presAssocID="{3E4366ED-56BD-4CD2-B25D-EC6A6CBD67C3}" presName="rootText" presStyleLbl="node4" presStyleIdx="33" presStyleCnt="37">
        <dgm:presLayoutVars>
          <dgm:chPref val="3"/>
        </dgm:presLayoutVars>
      </dgm:prSet>
      <dgm:spPr/>
    </dgm:pt>
    <dgm:pt modelId="{8CE87225-3583-408B-A41F-ED083B43C87C}" type="pres">
      <dgm:prSet presAssocID="{3E4366ED-56BD-4CD2-B25D-EC6A6CBD67C3}" presName="rootConnector" presStyleLbl="node4" presStyleIdx="33" presStyleCnt="37"/>
      <dgm:spPr/>
    </dgm:pt>
    <dgm:pt modelId="{C047DD7A-EB76-4608-B25E-66E809C3EA1A}" type="pres">
      <dgm:prSet presAssocID="{3E4366ED-56BD-4CD2-B25D-EC6A6CBD67C3}" presName="hierChild4" presStyleCnt="0"/>
      <dgm:spPr/>
    </dgm:pt>
    <dgm:pt modelId="{EA23FE47-CC19-4457-A5E0-19698EA68CA6}" type="pres">
      <dgm:prSet presAssocID="{3E4366ED-56BD-4CD2-B25D-EC6A6CBD67C3}" presName="hierChild5" presStyleCnt="0"/>
      <dgm:spPr/>
    </dgm:pt>
    <dgm:pt modelId="{EAB3BAB3-FD21-49DA-8368-BF8A3B6AB8FC}" type="pres">
      <dgm:prSet presAssocID="{4D84D968-1444-4AA9-857D-6156565CA06D}" presName="hierChild5" presStyleCnt="0"/>
      <dgm:spPr/>
    </dgm:pt>
    <dgm:pt modelId="{32B9F103-1A4A-48AD-A261-FD9EFC1C058C}" type="pres">
      <dgm:prSet presAssocID="{908A9419-1882-4813-B835-2E974B1EF0B5}" presName="Name37" presStyleLbl="parChTrans1D3" presStyleIdx="20" presStyleCnt="33"/>
      <dgm:spPr/>
    </dgm:pt>
    <dgm:pt modelId="{70DB7A7C-D937-4357-B588-8D7C5E29BCD8}" type="pres">
      <dgm:prSet presAssocID="{BE31271E-A076-4ED9-AC21-79688A8463AF}" presName="hierRoot2" presStyleCnt="0">
        <dgm:presLayoutVars>
          <dgm:hierBranch val="init"/>
        </dgm:presLayoutVars>
      </dgm:prSet>
      <dgm:spPr/>
    </dgm:pt>
    <dgm:pt modelId="{4BA82F0F-40E0-45B7-B2F2-7C1DCCEDE7E8}" type="pres">
      <dgm:prSet presAssocID="{BE31271E-A076-4ED9-AC21-79688A8463AF}" presName="rootComposite" presStyleCnt="0"/>
      <dgm:spPr/>
    </dgm:pt>
    <dgm:pt modelId="{705E3CF3-AD29-44CF-8A21-A256A4236ECA}" type="pres">
      <dgm:prSet presAssocID="{BE31271E-A076-4ED9-AC21-79688A8463AF}" presName="rootText" presStyleLbl="node3" presStyleIdx="20" presStyleCnt="33">
        <dgm:presLayoutVars>
          <dgm:chPref val="3"/>
        </dgm:presLayoutVars>
      </dgm:prSet>
      <dgm:spPr/>
    </dgm:pt>
    <dgm:pt modelId="{A1288FD9-0836-4D08-B58F-EF9A3506BE74}" type="pres">
      <dgm:prSet presAssocID="{BE31271E-A076-4ED9-AC21-79688A8463AF}" presName="rootConnector" presStyleLbl="node3" presStyleIdx="20" presStyleCnt="33"/>
      <dgm:spPr/>
    </dgm:pt>
    <dgm:pt modelId="{7FC59485-D972-453A-9EDF-6A68C7389277}" type="pres">
      <dgm:prSet presAssocID="{BE31271E-A076-4ED9-AC21-79688A8463AF}" presName="hierChild4" presStyleCnt="0"/>
      <dgm:spPr/>
    </dgm:pt>
    <dgm:pt modelId="{BB9FFEFF-B0D3-4A0B-A51E-267D70B7FE65}" type="pres">
      <dgm:prSet presAssocID="{0A1FA39F-1101-4800-8C61-3AD9D90E4CAE}" presName="Name37" presStyleLbl="parChTrans1D4" presStyleIdx="34" presStyleCnt="37"/>
      <dgm:spPr/>
    </dgm:pt>
    <dgm:pt modelId="{807CAB8D-F3F7-4C90-894E-AE2D1E7945B4}" type="pres">
      <dgm:prSet presAssocID="{C8F46018-B988-46AE-BE3D-A99F5B406FD6}" presName="hierRoot2" presStyleCnt="0">
        <dgm:presLayoutVars>
          <dgm:hierBranch val="init"/>
        </dgm:presLayoutVars>
      </dgm:prSet>
      <dgm:spPr/>
    </dgm:pt>
    <dgm:pt modelId="{EA25C0A9-F8BE-43B7-BA82-DD906A5C444B}" type="pres">
      <dgm:prSet presAssocID="{C8F46018-B988-46AE-BE3D-A99F5B406FD6}" presName="rootComposite" presStyleCnt="0"/>
      <dgm:spPr/>
    </dgm:pt>
    <dgm:pt modelId="{38B49250-75E7-4441-9A27-39B3670C462C}" type="pres">
      <dgm:prSet presAssocID="{C8F46018-B988-46AE-BE3D-A99F5B406FD6}" presName="rootText" presStyleLbl="node4" presStyleIdx="34" presStyleCnt="37">
        <dgm:presLayoutVars>
          <dgm:chPref val="3"/>
        </dgm:presLayoutVars>
      </dgm:prSet>
      <dgm:spPr/>
    </dgm:pt>
    <dgm:pt modelId="{D8EC790C-3954-49D7-A280-41D6C40FFE73}" type="pres">
      <dgm:prSet presAssocID="{C8F46018-B988-46AE-BE3D-A99F5B406FD6}" presName="rootConnector" presStyleLbl="node4" presStyleIdx="34" presStyleCnt="37"/>
      <dgm:spPr/>
    </dgm:pt>
    <dgm:pt modelId="{A094F31E-453A-4A79-BD11-1671E43A4085}" type="pres">
      <dgm:prSet presAssocID="{C8F46018-B988-46AE-BE3D-A99F5B406FD6}" presName="hierChild4" presStyleCnt="0"/>
      <dgm:spPr/>
    </dgm:pt>
    <dgm:pt modelId="{613DEC30-4868-4AB1-A759-82D1C7B55D3F}" type="pres">
      <dgm:prSet presAssocID="{C8F46018-B988-46AE-BE3D-A99F5B406FD6}" presName="hierChild5" presStyleCnt="0"/>
      <dgm:spPr/>
    </dgm:pt>
    <dgm:pt modelId="{974B0D7E-7957-487C-9B92-0E69086768E0}" type="pres">
      <dgm:prSet presAssocID="{83D46465-EBBF-4F96-A727-54A60F3A5461}" presName="Name37" presStyleLbl="parChTrans1D4" presStyleIdx="35" presStyleCnt="37"/>
      <dgm:spPr/>
    </dgm:pt>
    <dgm:pt modelId="{E22E4FD7-A3E4-4976-B8F6-961D1D0F988A}" type="pres">
      <dgm:prSet presAssocID="{FF33A1DC-33CA-4A96-A73E-D356FF7B6865}" presName="hierRoot2" presStyleCnt="0">
        <dgm:presLayoutVars>
          <dgm:hierBranch val="init"/>
        </dgm:presLayoutVars>
      </dgm:prSet>
      <dgm:spPr/>
    </dgm:pt>
    <dgm:pt modelId="{16ACD057-5A34-4D42-8A1E-7542DB48C5CA}" type="pres">
      <dgm:prSet presAssocID="{FF33A1DC-33CA-4A96-A73E-D356FF7B6865}" presName="rootComposite" presStyleCnt="0"/>
      <dgm:spPr/>
    </dgm:pt>
    <dgm:pt modelId="{9BCCBE2B-EE0E-4E62-84A7-131453F261FE}" type="pres">
      <dgm:prSet presAssocID="{FF33A1DC-33CA-4A96-A73E-D356FF7B6865}" presName="rootText" presStyleLbl="node4" presStyleIdx="35" presStyleCnt="37">
        <dgm:presLayoutVars>
          <dgm:chPref val="3"/>
        </dgm:presLayoutVars>
      </dgm:prSet>
      <dgm:spPr/>
    </dgm:pt>
    <dgm:pt modelId="{A70949CB-4168-4606-843C-8175816B3EF1}" type="pres">
      <dgm:prSet presAssocID="{FF33A1DC-33CA-4A96-A73E-D356FF7B6865}" presName="rootConnector" presStyleLbl="node4" presStyleIdx="35" presStyleCnt="37"/>
      <dgm:spPr/>
    </dgm:pt>
    <dgm:pt modelId="{68781E69-EFCC-4373-B4DB-1B86BA1BC855}" type="pres">
      <dgm:prSet presAssocID="{FF33A1DC-33CA-4A96-A73E-D356FF7B6865}" presName="hierChild4" presStyleCnt="0"/>
      <dgm:spPr/>
    </dgm:pt>
    <dgm:pt modelId="{CC89EB87-0149-45B0-ADA3-8E8A893F098A}" type="pres">
      <dgm:prSet presAssocID="{FF33A1DC-33CA-4A96-A73E-D356FF7B6865}" presName="hierChild5" presStyleCnt="0"/>
      <dgm:spPr/>
    </dgm:pt>
    <dgm:pt modelId="{FBBDFE6B-AD7D-4798-860C-DB8419454856}" type="pres">
      <dgm:prSet presAssocID="{A84ACBF0-1498-4B15-ADCF-B843AAA2EC73}" presName="Name37" presStyleLbl="parChTrans1D4" presStyleIdx="36" presStyleCnt="37"/>
      <dgm:spPr/>
    </dgm:pt>
    <dgm:pt modelId="{30582549-18BA-4D49-81B7-356A9CC0E7F2}" type="pres">
      <dgm:prSet presAssocID="{F90F24E4-2334-448C-81F9-6BD5CF8505B6}" presName="hierRoot2" presStyleCnt="0">
        <dgm:presLayoutVars>
          <dgm:hierBranch val="init"/>
        </dgm:presLayoutVars>
      </dgm:prSet>
      <dgm:spPr/>
    </dgm:pt>
    <dgm:pt modelId="{D981A5B1-268E-4079-8FDB-758380DB5EFE}" type="pres">
      <dgm:prSet presAssocID="{F90F24E4-2334-448C-81F9-6BD5CF8505B6}" presName="rootComposite" presStyleCnt="0"/>
      <dgm:spPr/>
    </dgm:pt>
    <dgm:pt modelId="{7D351816-7249-4C05-91C0-3491952B7781}" type="pres">
      <dgm:prSet presAssocID="{F90F24E4-2334-448C-81F9-6BD5CF8505B6}" presName="rootText" presStyleLbl="node4" presStyleIdx="36" presStyleCnt="37">
        <dgm:presLayoutVars>
          <dgm:chPref val="3"/>
        </dgm:presLayoutVars>
      </dgm:prSet>
      <dgm:spPr/>
    </dgm:pt>
    <dgm:pt modelId="{B3D4DF73-816E-4C40-B28B-58A80B7C46D8}" type="pres">
      <dgm:prSet presAssocID="{F90F24E4-2334-448C-81F9-6BD5CF8505B6}" presName="rootConnector" presStyleLbl="node4" presStyleIdx="36" presStyleCnt="37"/>
      <dgm:spPr/>
    </dgm:pt>
    <dgm:pt modelId="{40E39054-B53A-411C-993D-E887D4880213}" type="pres">
      <dgm:prSet presAssocID="{F90F24E4-2334-448C-81F9-6BD5CF8505B6}" presName="hierChild4" presStyleCnt="0"/>
      <dgm:spPr/>
    </dgm:pt>
    <dgm:pt modelId="{DA4C10AB-B255-44A7-8324-6DBC58A9A3F3}" type="pres">
      <dgm:prSet presAssocID="{F90F24E4-2334-448C-81F9-6BD5CF8505B6}" presName="hierChild5" presStyleCnt="0"/>
      <dgm:spPr/>
    </dgm:pt>
    <dgm:pt modelId="{4FA35EA7-6503-42F5-8D6D-461EDF98637D}" type="pres">
      <dgm:prSet presAssocID="{BE31271E-A076-4ED9-AC21-79688A8463AF}" presName="hierChild5" presStyleCnt="0"/>
      <dgm:spPr/>
    </dgm:pt>
    <dgm:pt modelId="{8603CFBF-FFAD-4383-80C9-2020ABF273C6}" type="pres">
      <dgm:prSet presAssocID="{8BB75C25-BB24-48E5-95A1-BDDD2AD67385}" presName="hierChild5" presStyleCnt="0"/>
      <dgm:spPr/>
    </dgm:pt>
    <dgm:pt modelId="{42D1CD4D-6371-47E3-AD76-B055C32C7936}" type="pres">
      <dgm:prSet presAssocID="{4D29C077-1695-455C-9DAA-E15887E6F57B}" presName="hierChild3" presStyleCnt="0"/>
      <dgm:spPr/>
    </dgm:pt>
    <dgm:pt modelId="{CCFAF1FE-D601-43D2-B746-99CCF93235F5}" type="pres">
      <dgm:prSet presAssocID="{03DF699C-3176-485E-B584-5BC85EC703ED}" presName="hierRoot1" presStyleCnt="0">
        <dgm:presLayoutVars>
          <dgm:hierBranch val="init"/>
        </dgm:presLayoutVars>
      </dgm:prSet>
      <dgm:spPr/>
    </dgm:pt>
    <dgm:pt modelId="{17AEB549-04BA-435B-8AC8-A5313E812A0F}" type="pres">
      <dgm:prSet presAssocID="{03DF699C-3176-485E-B584-5BC85EC703ED}" presName="rootComposite1" presStyleCnt="0"/>
      <dgm:spPr/>
    </dgm:pt>
    <dgm:pt modelId="{ADEAA3FF-F634-47DE-8844-A10560CC1EC8}" type="pres">
      <dgm:prSet presAssocID="{03DF699C-3176-485E-B584-5BC85EC703ED}" presName="rootText1" presStyleLbl="node0" presStyleIdx="2" presStyleCnt="3" custScaleX="184378">
        <dgm:presLayoutVars>
          <dgm:chPref val="3"/>
        </dgm:presLayoutVars>
      </dgm:prSet>
      <dgm:spPr/>
    </dgm:pt>
    <dgm:pt modelId="{9EBC3719-E547-4EED-BC48-5ABB36AD76E8}" type="pres">
      <dgm:prSet presAssocID="{03DF699C-3176-485E-B584-5BC85EC703ED}" presName="rootConnector1" presStyleLbl="node1" presStyleIdx="0" presStyleCnt="0"/>
      <dgm:spPr/>
    </dgm:pt>
    <dgm:pt modelId="{5CA23256-78E6-4901-85A8-D4DF56D8976F}" type="pres">
      <dgm:prSet presAssocID="{03DF699C-3176-485E-B584-5BC85EC703ED}" presName="hierChild2" presStyleCnt="0"/>
      <dgm:spPr/>
    </dgm:pt>
    <dgm:pt modelId="{A11ADAF4-52D0-4FE7-AB3A-790ECB2379B7}" type="pres">
      <dgm:prSet presAssocID="{EBA54DFC-7FC3-4D85-9BDE-4CD347E65E6C}" presName="Name37" presStyleLbl="parChTrans1D2" presStyleIdx="7" presStyleCnt="11"/>
      <dgm:spPr/>
    </dgm:pt>
    <dgm:pt modelId="{6F8844CE-B8C8-4B93-811F-1A09CD6A81F5}" type="pres">
      <dgm:prSet presAssocID="{424E63FB-7A5E-47ED-BA8E-381C8BEA7B4D}" presName="hierRoot2" presStyleCnt="0">
        <dgm:presLayoutVars>
          <dgm:hierBranch val="init"/>
        </dgm:presLayoutVars>
      </dgm:prSet>
      <dgm:spPr/>
    </dgm:pt>
    <dgm:pt modelId="{8D893046-EDBB-426F-8359-08A05B805282}" type="pres">
      <dgm:prSet presAssocID="{424E63FB-7A5E-47ED-BA8E-381C8BEA7B4D}" presName="rootComposite" presStyleCnt="0"/>
      <dgm:spPr/>
    </dgm:pt>
    <dgm:pt modelId="{8B66C7DD-A74C-42D6-9053-6474A7B6F3F7}" type="pres">
      <dgm:prSet presAssocID="{424E63FB-7A5E-47ED-BA8E-381C8BEA7B4D}" presName="rootText" presStyleLbl="node2" presStyleIdx="7" presStyleCnt="11">
        <dgm:presLayoutVars>
          <dgm:chPref val="3"/>
        </dgm:presLayoutVars>
      </dgm:prSet>
      <dgm:spPr/>
    </dgm:pt>
    <dgm:pt modelId="{BC04273A-8A7F-4612-9123-AD3244BE082A}" type="pres">
      <dgm:prSet presAssocID="{424E63FB-7A5E-47ED-BA8E-381C8BEA7B4D}" presName="rootConnector" presStyleLbl="node2" presStyleIdx="7" presStyleCnt="11"/>
      <dgm:spPr/>
    </dgm:pt>
    <dgm:pt modelId="{8ACE176B-EF59-4E77-8456-8BCE120FCCC4}" type="pres">
      <dgm:prSet presAssocID="{424E63FB-7A5E-47ED-BA8E-381C8BEA7B4D}" presName="hierChild4" presStyleCnt="0"/>
      <dgm:spPr/>
    </dgm:pt>
    <dgm:pt modelId="{83ED4CD0-FD22-4558-AB63-ECFD37A6F7FB}" type="pres">
      <dgm:prSet presAssocID="{2EA6147A-4097-4648-9D83-1C15EC3F6E1C}" presName="Name37" presStyleLbl="parChTrans1D3" presStyleIdx="21" presStyleCnt="33"/>
      <dgm:spPr/>
    </dgm:pt>
    <dgm:pt modelId="{72DC47AE-46FB-4A6D-BA77-8007F3609071}" type="pres">
      <dgm:prSet presAssocID="{92338313-9670-40FB-8040-D372407E9060}" presName="hierRoot2" presStyleCnt="0">
        <dgm:presLayoutVars>
          <dgm:hierBranch val="init"/>
        </dgm:presLayoutVars>
      </dgm:prSet>
      <dgm:spPr/>
    </dgm:pt>
    <dgm:pt modelId="{E0919611-7787-4B87-8C1B-482242C74797}" type="pres">
      <dgm:prSet presAssocID="{92338313-9670-40FB-8040-D372407E9060}" presName="rootComposite" presStyleCnt="0"/>
      <dgm:spPr/>
    </dgm:pt>
    <dgm:pt modelId="{DADE0B48-34D6-4A90-B868-AC45CED4B994}" type="pres">
      <dgm:prSet presAssocID="{92338313-9670-40FB-8040-D372407E9060}" presName="rootText" presStyleLbl="node3" presStyleIdx="21" presStyleCnt="33">
        <dgm:presLayoutVars>
          <dgm:chPref val="3"/>
        </dgm:presLayoutVars>
      </dgm:prSet>
      <dgm:spPr/>
    </dgm:pt>
    <dgm:pt modelId="{22193A27-4D0B-4A38-8C4D-9CB3FA74BB9B}" type="pres">
      <dgm:prSet presAssocID="{92338313-9670-40FB-8040-D372407E9060}" presName="rootConnector" presStyleLbl="node3" presStyleIdx="21" presStyleCnt="33"/>
      <dgm:spPr/>
    </dgm:pt>
    <dgm:pt modelId="{F79B2ECB-0F2C-4FDE-A51A-9427BEAE602E}" type="pres">
      <dgm:prSet presAssocID="{92338313-9670-40FB-8040-D372407E9060}" presName="hierChild4" presStyleCnt="0"/>
      <dgm:spPr/>
    </dgm:pt>
    <dgm:pt modelId="{EAA00EDB-D08D-4931-9806-4DB24F0CFBC2}" type="pres">
      <dgm:prSet presAssocID="{92338313-9670-40FB-8040-D372407E9060}" presName="hierChild5" presStyleCnt="0"/>
      <dgm:spPr/>
    </dgm:pt>
    <dgm:pt modelId="{174E4B96-9907-484D-AF03-FD9780FF466C}" type="pres">
      <dgm:prSet presAssocID="{D39B8DD9-864C-4EB7-9F89-A2AD12438034}" presName="Name37" presStyleLbl="parChTrans1D3" presStyleIdx="22" presStyleCnt="33"/>
      <dgm:spPr/>
    </dgm:pt>
    <dgm:pt modelId="{0E612A0E-E657-4DF8-97F8-7DB2BA0CDC9A}" type="pres">
      <dgm:prSet presAssocID="{8AB7F64B-E4EA-46A3-93C5-530B1FAAB3A0}" presName="hierRoot2" presStyleCnt="0">
        <dgm:presLayoutVars>
          <dgm:hierBranch val="init"/>
        </dgm:presLayoutVars>
      </dgm:prSet>
      <dgm:spPr/>
    </dgm:pt>
    <dgm:pt modelId="{0AD561A5-519F-4056-B7CA-2C4E9D6F271C}" type="pres">
      <dgm:prSet presAssocID="{8AB7F64B-E4EA-46A3-93C5-530B1FAAB3A0}" presName="rootComposite" presStyleCnt="0"/>
      <dgm:spPr/>
    </dgm:pt>
    <dgm:pt modelId="{A61B1158-AD48-4FDE-9AD6-9D79FABF5551}" type="pres">
      <dgm:prSet presAssocID="{8AB7F64B-E4EA-46A3-93C5-530B1FAAB3A0}" presName="rootText" presStyleLbl="node3" presStyleIdx="22" presStyleCnt="33">
        <dgm:presLayoutVars>
          <dgm:chPref val="3"/>
        </dgm:presLayoutVars>
      </dgm:prSet>
      <dgm:spPr/>
    </dgm:pt>
    <dgm:pt modelId="{AFD7BDD0-23CF-42B8-9B4A-480A76322345}" type="pres">
      <dgm:prSet presAssocID="{8AB7F64B-E4EA-46A3-93C5-530B1FAAB3A0}" presName="rootConnector" presStyleLbl="node3" presStyleIdx="22" presStyleCnt="33"/>
      <dgm:spPr/>
    </dgm:pt>
    <dgm:pt modelId="{64B12C87-6FA9-4184-A33F-0F66B6FC176A}" type="pres">
      <dgm:prSet presAssocID="{8AB7F64B-E4EA-46A3-93C5-530B1FAAB3A0}" presName="hierChild4" presStyleCnt="0"/>
      <dgm:spPr/>
    </dgm:pt>
    <dgm:pt modelId="{21E2AAE5-3A75-4ABA-86C4-F80AD7B21CE7}" type="pres">
      <dgm:prSet presAssocID="{8AB7F64B-E4EA-46A3-93C5-530B1FAAB3A0}" presName="hierChild5" presStyleCnt="0"/>
      <dgm:spPr/>
    </dgm:pt>
    <dgm:pt modelId="{BF23AE5C-3AF7-473A-AF77-17042B1E7748}" type="pres">
      <dgm:prSet presAssocID="{3C430132-43C1-47EF-A156-1D4161537981}" presName="Name37" presStyleLbl="parChTrans1D3" presStyleIdx="23" presStyleCnt="33"/>
      <dgm:spPr/>
    </dgm:pt>
    <dgm:pt modelId="{D1EF53E2-1338-4D56-9FE1-136E8C880094}" type="pres">
      <dgm:prSet presAssocID="{F02C7DD0-38B5-42D3-B052-77C4D943365F}" presName="hierRoot2" presStyleCnt="0">
        <dgm:presLayoutVars>
          <dgm:hierBranch val="init"/>
        </dgm:presLayoutVars>
      </dgm:prSet>
      <dgm:spPr/>
    </dgm:pt>
    <dgm:pt modelId="{82FEFB18-D4F8-4913-82E4-80B5B6FDDF11}" type="pres">
      <dgm:prSet presAssocID="{F02C7DD0-38B5-42D3-B052-77C4D943365F}" presName="rootComposite" presStyleCnt="0"/>
      <dgm:spPr/>
    </dgm:pt>
    <dgm:pt modelId="{436B62E2-FB7F-4E75-8F1D-09D806E30211}" type="pres">
      <dgm:prSet presAssocID="{F02C7DD0-38B5-42D3-B052-77C4D943365F}" presName="rootText" presStyleLbl="node3" presStyleIdx="23" presStyleCnt="33">
        <dgm:presLayoutVars>
          <dgm:chPref val="3"/>
        </dgm:presLayoutVars>
      </dgm:prSet>
      <dgm:spPr/>
    </dgm:pt>
    <dgm:pt modelId="{7F6D4C22-24BE-4C4A-A536-636EFFE5A292}" type="pres">
      <dgm:prSet presAssocID="{F02C7DD0-38B5-42D3-B052-77C4D943365F}" presName="rootConnector" presStyleLbl="node3" presStyleIdx="23" presStyleCnt="33"/>
      <dgm:spPr/>
    </dgm:pt>
    <dgm:pt modelId="{249ED8C9-7A10-4718-90C3-F740069B2972}" type="pres">
      <dgm:prSet presAssocID="{F02C7DD0-38B5-42D3-B052-77C4D943365F}" presName="hierChild4" presStyleCnt="0"/>
      <dgm:spPr/>
    </dgm:pt>
    <dgm:pt modelId="{739292A3-8036-4337-A795-7BBEA4624E97}" type="pres">
      <dgm:prSet presAssocID="{F02C7DD0-38B5-42D3-B052-77C4D943365F}" presName="hierChild5" presStyleCnt="0"/>
      <dgm:spPr/>
    </dgm:pt>
    <dgm:pt modelId="{E2B97565-E678-48B0-8551-E3044FD845C5}" type="pres">
      <dgm:prSet presAssocID="{884057CA-0B89-411E-8EB7-D1A853F68475}" presName="Name37" presStyleLbl="parChTrans1D3" presStyleIdx="24" presStyleCnt="33"/>
      <dgm:spPr/>
    </dgm:pt>
    <dgm:pt modelId="{3FCBCCEB-5FC9-4E65-9E0A-10538D17E084}" type="pres">
      <dgm:prSet presAssocID="{236AA128-08C9-44E9-A07E-E9063EC662C7}" presName="hierRoot2" presStyleCnt="0">
        <dgm:presLayoutVars>
          <dgm:hierBranch val="init"/>
        </dgm:presLayoutVars>
      </dgm:prSet>
      <dgm:spPr/>
    </dgm:pt>
    <dgm:pt modelId="{C4D43A5B-4D46-40DB-8586-E66AAEF55427}" type="pres">
      <dgm:prSet presAssocID="{236AA128-08C9-44E9-A07E-E9063EC662C7}" presName="rootComposite" presStyleCnt="0"/>
      <dgm:spPr/>
    </dgm:pt>
    <dgm:pt modelId="{0AD35396-15D9-47B2-9AD9-41BFAEE0D928}" type="pres">
      <dgm:prSet presAssocID="{236AA128-08C9-44E9-A07E-E9063EC662C7}" presName="rootText" presStyleLbl="node3" presStyleIdx="24" presStyleCnt="33">
        <dgm:presLayoutVars>
          <dgm:chPref val="3"/>
        </dgm:presLayoutVars>
      </dgm:prSet>
      <dgm:spPr/>
    </dgm:pt>
    <dgm:pt modelId="{2A43BD9C-9759-4D65-846B-4530F5DD0CAD}" type="pres">
      <dgm:prSet presAssocID="{236AA128-08C9-44E9-A07E-E9063EC662C7}" presName="rootConnector" presStyleLbl="node3" presStyleIdx="24" presStyleCnt="33"/>
      <dgm:spPr/>
    </dgm:pt>
    <dgm:pt modelId="{4A6416F3-5827-49A5-8B71-7EBE3790263B}" type="pres">
      <dgm:prSet presAssocID="{236AA128-08C9-44E9-A07E-E9063EC662C7}" presName="hierChild4" presStyleCnt="0"/>
      <dgm:spPr/>
    </dgm:pt>
    <dgm:pt modelId="{0C77F974-01FC-46BE-BF07-845A029A1BAB}" type="pres">
      <dgm:prSet presAssocID="{236AA128-08C9-44E9-A07E-E9063EC662C7}" presName="hierChild5" presStyleCnt="0"/>
      <dgm:spPr/>
    </dgm:pt>
    <dgm:pt modelId="{CEB43183-77C9-4BF0-831F-1595389A960F}" type="pres">
      <dgm:prSet presAssocID="{424E63FB-7A5E-47ED-BA8E-381C8BEA7B4D}" presName="hierChild5" presStyleCnt="0"/>
      <dgm:spPr/>
    </dgm:pt>
    <dgm:pt modelId="{B6D082AB-6FAB-4EAA-A2F9-1A63210DE847}" type="pres">
      <dgm:prSet presAssocID="{3AAD358E-6C2A-45F6-8AEA-D2444BC59F19}" presName="Name37" presStyleLbl="parChTrans1D2" presStyleIdx="8" presStyleCnt="11"/>
      <dgm:spPr/>
    </dgm:pt>
    <dgm:pt modelId="{B1FDC89D-54E6-443D-89C8-A2F7A81312F0}" type="pres">
      <dgm:prSet presAssocID="{5901CCA6-EF9E-4F05-B532-AFA0A830E4D5}" presName="hierRoot2" presStyleCnt="0">
        <dgm:presLayoutVars>
          <dgm:hierBranch val="init"/>
        </dgm:presLayoutVars>
      </dgm:prSet>
      <dgm:spPr/>
    </dgm:pt>
    <dgm:pt modelId="{71C58B00-9F76-426C-88CA-CE255DAC47AD}" type="pres">
      <dgm:prSet presAssocID="{5901CCA6-EF9E-4F05-B532-AFA0A830E4D5}" presName="rootComposite" presStyleCnt="0"/>
      <dgm:spPr/>
    </dgm:pt>
    <dgm:pt modelId="{05F683E2-330C-40C4-9190-E65F5EDC75CF}" type="pres">
      <dgm:prSet presAssocID="{5901CCA6-EF9E-4F05-B532-AFA0A830E4D5}" presName="rootText" presStyleLbl="node2" presStyleIdx="8" presStyleCnt="11">
        <dgm:presLayoutVars>
          <dgm:chPref val="3"/>
        </dgm:presLayoutVars>
      </dgm:prSet>
      <dgm:spPr/>
    </dgm:pt>
    <dgm:pt modelId="{E4453D79-3E76-4223-B5D6-9ABF8BF1FBD5}" type="pres">
      <dgm:prSet presAssocID="{5901CCA6-EF9E-4F05-B532-AFA0A830E4D5}" presName="rootConnector" presStyleLbl="node2" presStyleIdx="8" presStyleCnt="11"/>
      <dgm:spPr/>
    </dgm:pt>
    <dgm:pt modelId="{3D0C0C4B-105D-4A65-9F6D-34101294A8CE}" type="pres">
      <dgm:prSet presAssocID="{5901CCA6-EF9E-4F05-B532-AFA0A830E4D5}" presName="hierChild4" presStyleCnt="0"/>
      <dgm:spPr/>
    </dgm:pt>
    <dgm:pt modelId="{6A8EB647-D4D3-494A-9154-765638C60C1C}" type="pres">
      <dgm:prSet presAssocID="{E9B60A7F-1B58-4875-83A0-42F3D1E4F7F2}" presName="Name37" presStyleLbl="parChTrans1D3" presStyleIdx="25" presStyleCnt="33"/>
      <dgm:spPr/>
    </dgm:pt>
    <dgm:pt modelId="{074AD194-9050-4B0C-A6C2-71F29A3AFAA1}" type="pres">
      <dgm:prSet presAssocID="{23A96D7A-299B-4FA1-93D0-41E5DC2BDB0F}" presName="hierRoot2" presStyleCnt="0">
        <dgm:presLayoutVars>
          <dgm:hierBranch val="init"/>
        </dgm:presLayoutVars>
      </dgm:prSet>
      <dgm:spPr/>
    </dgm:pt>
    <dgm:pt modelId="{4C760020-3D5A-4069-8A46-68ECC24FAC17}" type="pres">
      <dgm:prSet presAssocID="{23A96D7A-299B-4FA1-93D0-41E5DC2BDB0F}" presName="rootComposite" presStyleCnt="0"/>
      <dgm:spPr/>
    </dgm:pt>
    <dgm:pt modelId="{A5DF8A86-0097-443C-87C2-CF899ADE7DE2}" type="pres">
      <dgm:prSet presAssocID="{23A96D7A-299B-4FA1-93D0-41E5DC2BDB0F}" presName="rootText" presStyleLbl="node3" presStyleIdx="25" presStyleCnt="33">
        <dgm:presLayoutVars>
          <dgm:chPref val="3"/>
        </dgm:presLayoutVars>
      </dgm:prSet>
      <dgm:spPr/>
    </dgm:pt>
    <dgm:pt modelId="{B8F8DC89-4AA2-4A80-B574-C97377A626D3}" type="pres">
      <dgm:prSet presAssocID="{23A96D7A-299B-4FA1-93D0-41E5DC2BDB0F}" presName="rootConnector" presStyleLbl="node3" presStyleIdx="25" presStyleCnt="33"/>
      <dgm:spPr/>
    </dgm:pt>
    <dgm:pt modelId="{24173B0F-F66E-4830-8541-8517433D8E7E}" type="pres">
      <dgm:prSet presAssocID="{23A96D7A-299B-4FA1-93D0-41E5DC2BDB0F}" presName="hierChild4" presStyleCnt="0"/>
      <dgm:spPr/>
    </dgm:pt>
    <dgm:pt modelId="{0CFE3977-6177-4C74-997B-32DD60DB0A98}" type="pres">
      <dgm:prSet presAssocID="{23A96D7A-299B-4FA1-93D0-41E5DC2BDB0F}" presName="hierChild5" presStyleCnt="0"/>
      <dgm:spPr/>
    </dgm:pt>
    <dgm:pt modelId="{8A028E31-9872-4846-A415-D4FC3ADFCDE2}" type="pres">
      <dgm:prSet presAssocID="{E1527C33-CFAA-4D8C-96C4-EE6231657CF0}" presName="Name37" presStyleLbl="parChTrans1D3" presStyleIdx="26" presStyleCnt="33"/>
      <dgm:spPr/>
    </dgm:pt>
    <dgm:pt modelId="{D61AB23A-B0C2-4485-A05A-6995C59A1847}" type="pres">
      <dgm:prSet presAssocID="{EC6FE534-DC93-4BE9-B221-533498D9AED2}" presName="hierRoot2" presStyleCnt="0">
        <dgm:presLayoutVars>
          <dgm:hierBranch val="init"/>
        </dgm:presLayoutVars>
      </dgm:prSet>
      <dgm:spPr/>
    </dgm:pt>
    <dgm:pt modelId="{7D3E59A4-2544-4BA4-8877-E320AA2FA982}" type="pres">
      <dgm:prSet presAssocID="{EC6FE534-DC93-4BE9-B221-533498D9AED2}" presName="rootComposite" presStyleCnt="0"/>
      <dgm:spPr/>
    </dgm:pt>
    <dgm:pt modelId="{C0C66002-6539-4A5A-A569-82420CBEF5EF}" type="pres">
      <dgm:prSet presAssocID="{EC6FE534-DC93-4BE9-B221-533498D9AED2}" presName="rootText" presStyleLbl="node3" presStyleIdx="26" presStyleCnt="33">
        <dgm:presLayoutVars>
          <dgm:chPref val="3"/>
        </dgm:presLayoutVars>
      </dgm:prSet>
      <dgm:spPr/>
    </dgm:pt>
    <dgm:pt modelId="{736BB68E-8D5F-423E-8086-56AAA42B40BA}" type="pres">
      <dgm:prSet presAssocID="{EC6FE534-DC93-4BE9-B221-533498D9AED2}" presName="rootConnector" presStyleLbl="node3" presStyleIdx="26" presStyleCnt="33"/>
      <dgm:spPr/>
    </dgm:pt>
    <dgm:pt modelId="{8CE75817-8B10-4760-A2F8-00E960CCD554}" type="pres">
      <dgm:prSet presAssocID="{EC6FE534-DC93-4BE9-B221-533498D9AED2}" presName="hierChild4" presStyleCnt="0"/>
      <dgm:spPr/>
    </dgm:pt>
    <dgm:pt modelId="{E85B01E7-D72D-4EC6-A559-3C87C20E46F0}" type="pres">
      <dgm:prSet presAssocID="{EC6FE534-DC93-4BE9-B221-533498D9AED2}" presName="hierChild5" presStyleCnt="0"/>
      <dgm:spPr/>
    </dgm:pt>
    <dgm:pt modelId="{50EBA4E4-6A87-41AF-AA0F-FF08390666B4}" type="pres">
      <dgm:prSet presAssocID="{902A754E-4E4A-4847-B0A2-573B94308BBA}" presName="Name37" presStyleLbl="parChTrans1D3" presStyleIdx="27" presStyleCnt="33"/>
      <dgm:spPr/>
    </dgm:pt>
    <dgm:pt modelId="{6FBFB8D2-BCA9-4991-A061-EEB6F6025BA3}" type="pres">
      <dgm:prSet presAssocID="{0995A2E3-0901-4DB1-B970-376B2E4006D1}" presName="hierRoot2" presStyleCnt="0">
        <dgm:presLayoutVars>
          <dgm:hierBranch val="init"/>
        </dgm:presLayoutVars>
      </dgm:prSet>
      <dgm:spPr/>
    </dgm:pt>
    <dgm:pt modelId="{DE72C043-B23A-4395-88FF-66055F5052E8}" type="pres">
      <dgm:prSet presAssocID="{0995A2E3-0901-4DB1-B970-376B2E4006D1}" presName="rootComposite" presStyleCnt="0"/>
      <dgm:spPr/>
    </dgm:pt>
    <dgm:pt modelId="{0E86C646-21FD-4A5A-B8EB-13EEC8D4DB3B}" type="pres">
      <dgm:prSet presAssocID="{0995A2E3-0901-4DB1-B970-376B2E4006D1}" presName="rootText" presStyleLbl="node3" presStyleIdx="27" presStyleCnt="33">
        <dgm:presLayoutVars>
          <dgm:chPref val="3"/>
        </dgm:presLayoutVars>
      </dgm:prSet>
      <dgm:spPr/>
    </dgm:pt>
    <dgm:pt modelId="{AD8F9791-EE12-41A5-AB0C-AFE65584D927}" type="pres">
      <dgm:prSet presAssocID="{0995A2E3-0901-4DB1-B970-376B2E4006D1}" presName="rootConnector" presStyleLbl="node3" presStyleIdx="27" presStyleCnt="33"/>
      <dgm:spPr/>
    </dgm:pt>
    <dgm:pt modelId="{7AFE481B-05AA-4D01-AC65-697C94887CE2}" type="pres">
      <dgm:prSet presAssocID="{0995A2E3-0901-4DB1-B970-376B2E4006D1}" presName="hierChild4" presStyleCnt="0"/>
      <dgm:spPr/>
    </dgm:pt>
    <dgm:pt modelId="{2E730DDE-AFA9-4B5D-9FEC-AC663B25B0E3}" type="pres">
      <dgm:prSet presAssocID="{0995A2E3-0901-4DB1-B970-376B2E4006D1}" presName="hierChild5" presStyleCnt="0"/>
      <dgm:spPr/>
    </dgm:pt>
    <dgm:pt modelId="{EFCDAB5B-7FFA-438B-86E1-485C1F6A895A}" type="pres">
      <dgm:prSet presAssocID="{5901CCA6-EF9E-4F05-B532-AFA0A830E4D5}" presName="hierChild5" presStyleCnt="0"/>
      <dgm:spPr/>
    </dgm:pt>
    <dgm:pt modelId="{55A2925D-E86E-42A8-B7FF-94E0195E5073}" type="pres">
      <dgm:prSet presAssocID="{C0EE7375-36E6-4281-9237-5F5EEB6505C0}" presName="Name37" presStyleLbl="parChTrans1D2" presStyleIdx="9" presStyleCnt="11"/>
      <dgm:spPr/>
    </dgm:pt>
    <dgm:pt modelId="{D85753EA-4CEA-4A4B-8A32-D3D43FA52063}" type="pres">
      <dgm:prSet presAssocID="{905ED552-0ABB-46DE-A60F-9DB1B7EBD348}" presName="hierRoot2" presStyleCnt="0">
        <dgm:presLayoutVars>
          <dgm:hierBranch val="init"/>
        </dgm:presLayoutVars>
      </dgm:prSet>
      <dgm:spPr/>
    </dgm:pt>
    <dgm:pt modelId="{E7362B9A-1B1E-46F4-8830-AB5535959F1F}" type="pres">
      <dgm:prSet presAssocID="{905ED552-0ABB-46DE-A60F-9DB1B7EBD348}" presName="rootComposite" presStyleCnt="0"/>
      <dgm:spPr/>
    </dgm:pt>
    <dgm:pt modelId="{F4C31505-D6DF-47AA-9843-C7210EBB4F84}" type="pres">
      <dgm:prSet presAssocID="{905ED552-0ABB-46DE-A60F-9DB1B7EBD348}" presName="rootText" presStyleLbl="node2" presStyleIdx="9" presStyleCnt="11">
        <dgm:presLayoutVars>
          <dgm:chPref val="3"/>
        </dgm:presLayoutVars>
      </dgm:prSet>
      <dgm:spPr/>
    </dgm:pt>
    <dgm:pt modelId="{8CD98874-4C2F-48D6-ABC1-E3669CF6CC99}" type="pres">
      <dgm:prSet presAssocID="{905ED552-0ABB-46DE-A60F-9DB1B7EBD348}" presName="rootConnector" presStyleLbl="node2" presStyleIdx="9" presStyleCnt="11"/>
      <dgm:spPr/>
    </dgm:pt>
    <dgm:pt modelId="{C0B11FFA-CF24-49AB-8819-3A2664AEC736}" type="pres">
      <dgm:prSet presAssocID="{905ED552-0ABB-46DE-A60F-9DB1B7EBD348}" presName="hierChild4" presStyleCnt="0"/>
      <dgm:spPr/>
    </dgm:pt>
    <dgm:pt modelId="{50137482-7075-4F5C-85D8-3D55CECBD909}" type="pres">
      <dgm:prSet presAssocID="{164BE56B-4369-439C-BDA1-AC866650347E}" presName="Name37" presStyleLbl="parChTrans1D3" presStyleIdx="28" presStyleCnt="33"/>
      <dgm:spPr/>
    </dgm:pt>
    <dgm:pt modelId="{8FB6E4B9-313B-47E5-8A3B-3E1F002D4303}" type="pres">
      <dgm:prSet presAssocID="{FA075ABC-5CA4-4216-8E88-E8C82245409F}" presName="hierRoot2" presStyleCnt="0">
        <dgm:presLayoutVars>
          <dgm:hierBranch val="init"/>
        </dgm:presLayoutVars>
      </dgm:prSet>
      <dgm:spPr/>
    </dgm:pt>
    <dgm:pt modelId="{617A2777-AB28-4DF0-9AEF-2745F186FD77}" type="pres">
      <dgm:prSet presAssocID="{FA075ABC-5CA4-4216-8E88-E8C82245409F}" presName="rootComposite" presStyleCnt="0"/>
      <dgm:spPr/>
    </dgm:pt>
    <dgm:pt modelId="{E0236C2B-A9D3-4E97-8A2C-9AEC28E97E16}" type="pres">
      <dgm:prSet presAssocID="{FA075ABC-5CA4-4216-8E88-E8C82245409F}" presName="rootText" presStyleLbl="node3" presStyleIdx="28" presStyleCnt="33">
        <dgm:presLayoutVars>
          <dgm:chPref val="3"/>
        </dgm:presLayoutVars>
      </dgm:prSet>
      <dgm:spPr/>
    </dgm:pt>
    <dgm:pt modelId="{9781DE36-AF9D-43C5-91F5-226FB23BC5A0}" type="pres">
      <dgm:prSet presAssocID="{FA075ABC-5CA4-4216-8E88-E8C82245409F}" presName="rootConnector" presStyleLbl="node3" presStyleIdx="28" presStyleCnt="33"/>
      <dgm:spPr/>
    </dgm:pt>
    <dgm:pt modelId="{14B005E7-95FB-4143-98DE-1FA77EC5A3C9}" type="pres">
      <dgm:prSet presAssocID="{FA075ABC-5CA4-4216-8E88-E8C82245409F}" presName="hierChild4" presStyleCnt="0"/>
      <dgm:spPr/>
    </dgm:pt>
    <dgm:pt modelId="{89D87FA7-C9EC-4B28-808C-9B82C009FFCE}" type="pres">
      <dgm:prSet presAssocID="{FA075ABC-5CA4-4216-8E88-E8C82245409F}" presName="hierChild5" presStyleCnt="0"/>
      <dgm:spPr/>
    </dgm:pt>
    <dgm:pt modelId="{69D67CA4-D28A-45E7-B564-60835C9B9944}" type="pres">
      <dgm:prSet presAssocID="{3BEC5FAA-E4C7-4310-8BF8-FD6D6CD14D5D}" presName="Name37" presStyleLbl="parChTrans1D3" presStyleIdx="29" presStyleCnt="33"/>
      <dgm:spPr/>
    </dgm:pt>
    <dgm:pt modelId="{DA798610-8C3D-484F-B8E9-4F56D63FCA32}" type="pres">
      <dgm:prSet presAssocID="{52322AC1-C0CA-41C2-AF77-D47B568609DC}" presName="hierRoot2" presStyleCnt="0">
        <dgm:presLayoutVars>
          <dgm:hierBranch val="init"/>
        </dgm:presLayoutVars>
      </dgm:prSet>
      <dgm:spPr/>
    </dgm:pt>
    <dgm:pt modelId="{51CF6395-2104-4DC6-B72C-3CACC00C49D8}" type="pres">
      <dgm:prSet presAssocID="{52322AC1-C0CA-41C2-AF77-D47B568609DC}" presName="rootComposite" presStyleCnt="0"/>
      <dgm:spPr/>
    </dgm:pt>
    <dgm:pt modelId="{37EA8AB1-7584-4A32-9145-69668D71E8F4}" type="pres">
      <dgm:prSet presAssocID="{52322AC1-C0CA-41C2-AF77-D47B568609DC}" presName="rootText" presStyleLbl="node3" presStyleIdx="29" presStyleCnt="33">
        <dgm:presLayoutVars>
          <dgm:chPref val="3"/>
        </dgm:presLayoutVars>
      </dgm:prSet>
      <dgm:spPr/>
    </dgm:pt>
    <dgm:pt modelId="{91D65981-C332-4F80-9A76-E4C1E868E8D5}" type="pres">
      <dgm:prSet presAssocID="{52322AC1-C0CA-41C2-AF77-D47B568609DC}" presName="rootConnector" presStyleLbl="node3" presStyleIdx="29" presStyleCnt="33"/>
      <dgm:spPr/>
    </dgm:pt>
    <dgm:pt modelId="{183FC954-0C05-494B-8E6D-E8A55ED05C43}" type="pres">
      <dgm:prSet presAssocID="{52322AC1-C0CA-41C2-AF77-D47B568609DC}" presName="hierChild4" presStyleCnt="0"/>
      <dgm:spPr/>
    </dgm:pt>
    <dgm:pt modelId="{676E2EA6-40B6-4CC5-8AE4-21303161256C}" type="pres">
      <dgm:prSet presAssocID="{52322AC1-C0CA-41C2-AF77-D47B568609DC}" presName="hierChild5" presStyleCnt="0"/>
      <dgm:spPr/>
    </dgm:pt>
    <dgm:pt modelId="{2C08C6B6-C420-4D90-AAA9-D796119CAD47}" type="pres">
      <dgm:prSet presAssocID="{D010ED04-6422-41B1-9B13-F8A5DEAE4019}" presName="Name37" presStyleLbl="parChTrans1D3" presStyleIdx="30" presStyleCnt="33"/>
      <dgm:spPr/>
    </dgm:pt>
    <dgm:pt modelId="{358D2FB8-32A5-489A-ABBE-6F969D04818C}" type="pres">
      <dgm:prSet presAssocID="{B0D67059-EF7D-43CE-8506-8E9B5868DB0C}" presName="hierRoot2" presStyleCnt="0">
        <dgm:presLayoutVars>
          <dgm:hierBranch val="init"/>
        </dgm:presLayoutVars>
      </dgm:prSet>
      <dgm:spPr/>
    </dgm:pt>
    <dgm:pt modelId="{1C3335B0-6F0A-46F5-B5E9-98E2F92D5D38}" type="pres">
      <dgm:prSet presAssocID="{B0D67059-EF7D-43CE-8506-8E9B5868DB0C}" presName="rootComposite" presStyleCnt="0"/>
      <dgm:spPr/>
    </dgm:pt>
    <dgm:pt modelId="{2477F0E8-C553-4E88-927C-3C8AE2E8F105}" type="pres">
      <dgm:prSet presAssocID="{B0D67059-EF7D-43CE-8506-8E9B5868DB0C}" presName="rootText" presStyleLbl="node3" presStyleIdx="30" presStyleCnt="33">
        <dgm:presLayoutVars>
          <dgm:chPref val="3"/>
        </dgm:presLayoutVars>
      </dgm:prSet>
      <dgm:spPr/>
    </dgm:pt>
    <dgm:pt modelId="{A244A32C-15CC-4029-9411-6D009D2F8BA7}" type="pres">
      <dgm:prSet presAssocID="{B0D67059-EF7D-43CE-8506-8E9B5868DB0C}" presName="rootConnector" presStyleLbl="node3" presStyleIdx="30" presStyleCnt="33"/>
      <dgm:spPr/>
    </dgm:pt>
    <dgm:pt modelId="{0310A6CF-22B2-4D21-A3B5-78DF15297785}" type="pres">
      <dgm:prSet presAssocID="{B0D67059-EF7D-43CE-8506-8E9B5868DB0C}" presName="hierChild4" presStyleCnt="0"/>
      <dgm:spPr/>
    </dgm:pt>
    <dgm:pt modelId="{E14393C1-54DC-4CA4-9FD4-50F2748AB6BF}" type="pres">
      <dgm:prSet presAssocID="{B0D67059-EF7D-43CE-8506-8E9B5868DB0C}" presName="hierChild5" presStyleCnt="0"/>
      <dgm:spPr/>
    </dgm:pt>
    <dgm:pt modelId="{69C45E2D-637B-4F7F-8D4B-FE869047C9DE}" type="pres">
      <dgm:prSet presAssocID="{905ED552-0ABB-46DE-A60F-9DB1B7EBD348}" presName="hierChild5" presStyleCnt="0"/>
      <dgm:spPr/>
    </dgm:pt>
    <dgm:pt modelId="{78E0AD19-266C-436B-A2CA-461A101CA1F0}" type="pres">
      <dgm:prSet presAssocID="{EC92CB9E-5DFE-4287-A9E0-4954C06F656B}" presName="Name37" presStyleLbl="parChTrans1D2" presStyleIdx="10" presStyleCnt="11"/>
      <dgm:spPr/>
    </dgm:pt>
    <dgm:pt modelId="{DCBE908A-2AFE-48B9-A96B-28F7A93995D4}" type="pres">
      <dgm:prSet presAssocID="{14FC8420-D447-4CEA-A3B7-61E9B3749D8E}" presName="hierRoot2" presStyleCnt="0">
        <dgm:presLayoutVars>
          <dgm:hierBranch val="init"/>
        </dgm:presLayoutVars>
      </dgm:prSet>
      <dgm:spPr/>
    </dgm:pt>
    <dgm:pt modelId="{04C66DDE-9E0C-42D3-B323-1DE386AFB5A7}" type="pres">
      <dgm:prSet presAssocID="{14FC8420-D447-4CEA-A3B7-61E9B3749D8E}" presName="rootComposite" presStyleCnt="0"/>
      <dgm:spPr/>
    </dgm:pt>
    <dgm:pt modelId="{BE47A5DE-EE30-49CB-AFBD-8B1C93DA5FCE}" type="pres">
      <dgm:prSet presAssocID="{14FC8420-D447-4CEA-A3B7-61E9B3749D8E}" presName="rootText" presStyleLbl="node2" presStyleIdx="10" presStyleCnt="11">
        <dgm:presLayoutVars>
          <dgm:chPref val="3"/>
        </dgm:presLayoutVars>
      </dgm:prSet>
      <dgm:spPr/>
    </dgm:pt>
    <dgm:pt modelId="{09B6F1F9-FA3F-40F5-BC5E-39060C10CE30}" type="pres">
      <dgm:prSet presAssocID="{14FC8420-D447-4CEA-A3B7-61E9B3749D8E}" presName="rootConnector" presStyleLbl="node2" presStyleIdx="10" presStyleCnt="11"/>
      <dgm:spPr/>
    </dgm:pt>
    <dgm:pt modelId="{E93119D5-CCD2-4ACF-8EB3-B32EA54A1F9C}" type="pres">
      <dgm:prSet presAssocID="{14FC8420-D447-4CEA-A3B7-61E9B3749D8E}" presName="hierChild4" presStyleCnt="0"/>
      <dgm:spPr/>
    </dgm:pt>
    <dgm:pt modelId="{476FD194-C2DB-4BE5-BCC9-87BA20A144EC}" type="pres">
      <dgm:prSet presAssocID="{D1202378-9FC3-4AC3-BEDF-808E27AD479B}" presName="Name37" presStyleLbl="parChTrans1D3" presStyleIdx="31" presStyleCnt="33"/>
      <dgm:spPr/>
    </dgm:pt>
    <dgm:pt modelId="{DA23E44A-9BC2-495F-8F10-272F6958A110}" type="pres">
      <dgm:prSet presAssocID="{BA15DC88-B838-4D5F-9BAB-AEC02AE52521}" presName="hierRoot2" presStyleCnt="0">
        <dgm:presLayoutVars>
          <dgm:hierBranch val="init"/>
        </dgm:presLayoutVars>
      </dgm:prSet>
      <dgm:spPr/>
    </dgm:pt>
    <dgm:pt modelId="{ED6A60AF-3629-41B7-A130-D97AE6EF8599}" type="pres">
      <dgm:prSet presAssocID="{BA15DC88-B838-4D5F-9BAB-AEC02AE52521}" presName="rootComposite" presStyleCnt="0"/>
      <dgm:spPr/>
    </dgm:pt>
    <dgm:pt modelId="{EA71E183-84E8-48D4-A9A6-8F0910470349}" type="pres">
      <dgm:prSet presAssocID="{BA15DC88-B838-4D5F-9BAB-AEC02AE52521}" presName="rootText" presStyleLbl="node3" presStyleIdx="31" presStyleCnt="33">
        <dgm:presLayoutVars>
          <dgm:chPref val="3"/>
        </dgm:presLayoutVars>
      </dgm:prSet>
      <dgm:spPr/>
    </dgm:pt>
    <dgm:pt modelId="{95AF17A8-D840-4738-90E0-1D77B020D50F}" type="pres">
      <dgm:prSet presAssocID="{BA15DC88-B838-4D5F-9BAB-AEC02AE52521}" presName="rootConnector" presStyleLbl="node3" presStyleIdx="31" presStyleCnt="33"/>
      <dgm:spPr/>
    </dgm:pt>
    <dgm:pt modelId="{1AC23E50-447D-43D1-9FEB-FE4FB0F39535}" type="pres">
      <dgm:prSet presAssocID="{BA15DC88-B838-4D5F-9BAB-AEC02AE52521}" presName="hierChild4" presStyleCnt="0"/>
      <dgm:spPr/>
    </dgm:pt>
    <dgm:pt modelId="{4B7B79BB-3639-46FD-B0E1-D4CB40C7656E}" type="pres">
      <dgm:prSet presAssocID="{BA15DC88-B838-4D5F-9BAB-AEC02AE52521}" presName="hierChild5" presStyleCnt="0"/>
      <dgm:spPr/>
    </dgm:pt>
    <dgm:pt modelId="{14AD741D-1044-421E-B51F-D36961D4CACA}" type="pres">
      <dgm:prSet presAssocID="{900F9B5B-B201-41E8-9F84-B4A949821D1D}" presName="Name37" presStyleLbl="parChTrans1D3" presStyleIdx="32" presStyleCnt="33"/>
      <dgm:spPr/>
    </dgm:pt>
    <dgm:pt modelId="{7E7FD53D-C23B-439C-BB55-A1BB628944FD}" type="pres">
      <dgm:prSet presAssocID="{85451313-C917-4F47-86D0-45E28E549CBF}" presName="hierRoot2" presStyleCnt="0">
        <dgm:presLayoutVars>
          <dgm:hierBranch val="init"/>
        </dgm:presLayoutVars>
      </dgm:prSet>
      <dgm:spPr/>
    </dgm:pt>
    <dgm:pt modelId="{0A4BED6E-CC89-4EF7-AC42-68901184580F}" type="pres">
      <dgm:prSet presAssocID="{85451313-C917-4F47-86D0-45E28E549CBF}" presName="rootComposite" presStyleCnt="0"/>
      <dgm:spPr/>
    </dgm:pt>
    <dgm:pt modelId="{9604BD11-597B-45A2-8DAF-0E2330BF583C}" type="pres">
      <dgm:prSet presAssocID="{85451313-C917-4F47-86D0-45E28E549CBF}" presName="rootText" presStyleLbl="node3" presStyleIdx="32" presStyleCnt="33">
        <dgm:presLayoutVars>
          <dgm:chPref val="3"/>
        </dgm:presLayoutVars>
      </dgm:prSet>
      <dgm:spPr/>
    </dgm:pt>
    <dgm:pt modelId="{EEDFA72F-C267-464D-9685-936B0047B18D}" type="pres">
      <dgm:prSet presAssocID="{85451313-C917-4F47-86D0-45E28E549CBF}" presName="rootConnector" presStyleLbl="node3" presStyleIdx="32" presStyleCnt="33"/>
      <dgm:spPr/>
    </dgm:pt>
    <dgm:pt modelId="{FFD40595-E6EF-45C2-99F1-2551989CC96B}" type="pres">
      <dgm:prSet presAssocID="{85451313-C917-4F47-86D0-45E28E549CBF}" presName="hierChild4" presStyleCnt="0"/>
      <dgm:spPr/>
    </dgm:pt>
    <dgm:pt modelId="{E1AD0E51-1967-4F01-85E3-D296247390E6}" type="pres">
      <dgm:prSet presAssocID="{85451313-C917-4F47-86D0-45E28E549CBF}" presName="hierChild5" presStyleCnt="0"/>
      <dgm:spPr/>
    </dgm:pt>
    <dgm:pt modelId="{E4852736-0182-4306-98B1-29905F8C1B1B}" type="pres">
      <dgm:prSet presAssocID="{14FC8420-D447-4CEA-A3B7-61E9B3749D8E}" presName="hierChild5" presStyleCnt="0"/>
      <dgm:spPr/>
    </dgm:pt>
    <dgm:pt modelId="{B248F0A6-9FD6-4689-849F-1620379F87F3}" type="pres">
      <dgm:prSet presAssocID="{03DF699C-3176-485E-B584-5BC85EC703ED}" presName="hierChild3" presStyleCnt="0"/>
      <dgm:spPr/>
    </dgm:pt>
  </dgm:ptLst>
  <dgm:cxnLst>
    <dgm:cxn modelId="{E3725A01-7F8E-4021-8F2C-1F5CFE53CF4A}" type="presOf" srcId="{0102E4FE-20A8-44CB-9044-37DB2019EEF7}" destId="{C400F1F9-7EB9-41D7-BB05-46DCA840A9E4}" srcOrd="0" destOrd="0" presId="urn:microsoft.com/office/officeart/2005/8/layout/orgChart1"/>
    <dgm:cxn modelId="{E55DB602-DC2A-4A90-AEBC-D3FA9C19E981}" srcId="{03DF699C-3176-485E-B584-5BC85EC703ED}" destId="{5901CCA6-EF9E-4F05-B532-AFA0A830E4D5}" srcOrd="1" destOrd="0" parTransId="{3AAD358E-6C2A-45F6-8AEA-D2444BC59F19}" sibTransId="{DA81767C-EE83-44C2-9E22-3E8E99D8403B}"/>
    <dgm:cxn modelId="{DD66AE03-C668-440E-9472-04A0E82BD35A}" type="presOf" srcId="{B7B3C6AE-DFBB-46A9-8CF1-A1BD803B9409}" destId="{F970536D-FAFB-4C8D-8037-06295DD6472D}" srcOrd="0" destOrd="0" presId="urn:microsoft.com/office/officeart/2005/8/layout/orgChart1"/>
    <dgm:cxn modelId="{1FBD0E05-4780-4F51-A7BF-A607C1A7FC12}" type="presOf" srcId="{E62468E0-1FF4-4D1D-A9CA-0D68F9B02BD3}" destId="{DB806BCD-2DF0-4DBB-BC15-66EC7A00C8F5}" srcOrd="0" destOrd="0" presId="urn:microsoft.com/office/officeart/2005/8/layout/orgChart1"/>
    <dgm:cxn modelId="{7AA88305-8AB7-4591-B9F9-9EEB7E4E7E2E}" type="presOf" srcId="{B3F45023-E1E3-43C0-B67F-AD1E7AC51078}" destId="{CD330AB0-A63B-49B7-BE13-963320C41952}" srcOrd="0" destOrd="0" presId="urn:microsoft.com/office/officeart/2005/8/layout/orgChart1"/>
    <dgm:cxn modelId="{22C25E06-F3E7-4770-8FCB-282E8610DA3B}" type="presOf" srcId="{0967B97A-9CE9-40F1-BF1A-2DFA48C2D7E5}" destId="{C7560BDD-B0C7-4326-9BF2-977128BE75B1}" srcOrd="1" destOrd="0" presId="urn:microsoft.com/office/officeart/2005/8/layout/orgChart1"/>
    <dgm:cxn modelId="{50C54D08-2925-4375-A36D-59E3F6F5A27F}" type="presOf" srcId="{4D84D968-1444-4AA9-857D-6156565CA06D}" destId="{F7FDFD22-E9B9-453B-AFC5-19DA41875544}" srcOrd="0" destOrd="0" presId="urn:microsoft.com/office/officeart/2005/8/layout/orgChart1"/>
    <dgm:cxn modelId="{D062E208-C3C7-4D03-AFD0-43663D9D2794}" type="presOf" srcId="{395B0B9C-8BE5-4D37-98FF-538F94774664}" destId="{F0D0E67C-C846-484A-B367-108D466DB8D7}"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B0DCEA0B-4091-4091-BD1E-F686A90EE6BF}" type="presOf" srcId="{BC5B252E-CFEA-432E-A23C-820CF26C7CFC}" destId="{F4ABF537-7FFD-4B3A-BD7F-F92CAA13DFB1}" srcOrd="0" destOrd="0" presId="urn:microsoft.com/office/officeart/2005/8/layout/orgChart1"/>
    <dgm:cxn modelId="{4A4E6E0C-2579-49DD-AC14-32731D600488}" type="presOf" srcId="{FF33A1DC-33CA-4A96-A73E-D356FF7B6865}" destId="{A70949CB-4168-4606-843C-8175816B3EF1}" srcOrd="1" destOrd="0" presId="urn:microsoft.com/office/officeart/2005/8/layout/orgChart1"/>
    <dgm:cxn modelId="{96FE560C-572C-4C9B-9AE6-91E57715ECD6}" srcId="{D6F5CD79-D3E1-4B19-9C25-479267A00537}" destId="{3E6F3F79-ED3B-46F1-959B-8150A5EAAD1A}" srcOrd="2" destOrd="0" parTransId="{5CD779A3-A461-48BE-8306-4AEC359C9657}" sibTransId="{7509017F-C27E-48B7-9036-8C135790057E}"/>
    <dgm:cxn modelId="{7C668A0C-A5F5-4501-AB5F-808AA74DAB28}" type="presOf" srcId="{86AF350A-A785-4BDD-9C13-1E90196942B4}" destId="{D1291E23-1C8E-4419-B3CD-77D118F1FD12}" srcOrd="0" destOrd="0" presId="urn:microsoft.com/office/officeart/2005/8/layout/orgChart1"/>
    <dgm:cxn modelId="{04C8AC0C-C604-448D-8C37-DCA569B27FCF}" srcId="{141B889D-94F1-45C1-B73E-13B1197CCCF8}" destId="{9DD1E46F-B70E-477E-9BFB-696199DB6F2F}" srcOrd="2" destOrd="0" parTransId="{8CED2796-06CC-4879-8898-DC3B6031BADC}" sibTransId="{621CD5B3-F25B-454C-87AD-44221EE70882}"/>
    <dgm:cxn modelId="{B6E8350D-073B-4398-AB39-54D9747CCAF2}" srcId="{905ED552-0ABB-46DE-A60F-9DB1B7EBD348}" destId="{B0D67059-EF7D-43CE-8506-8E9B5868DB0C}" srcOrd="2" destOrd="0" parTransId="{D010ED04-6422-41B1-9B13-F8A5DEAE4019}" sibTransId="{EA6F9236-2F0E-4B77-84C3-BC211A6AAA2F}"/>
    <dgm:cxn modelId="{180B200E-0ED5-4886-B576-9D45BA684EEA}" srcId="{B3F45023-E1E3-43C0-B67F-AD1E7AC51078}" destId="{9BA5D052-04F8-4177-9923-A4FEA4524647}" srcOrd="2" destOrd="0" parTransId="{2E6699B4-D7C0-4907-BDBD-3AF139CF76BA}" sibTransId="{00FBEDD6-079A-4FFD-8DA8-DB731688F603}"/>
    <dgm:cxn modelId="{D2EAB60E-A75A-463D-86AE-3D2657A034C1}" srcId="{97F38E1B-8B0A-4C1C-BB0E-8DC2824BBDEE}" destId="{51C79718-E650-4489-9A19-46CB6F3C5E64}" srcOrd="2" destOrd="0" parTransId="{FBC1385E-8795-41FA-845C-EB5AF43C2B13}" sibTransId="{CEDCA9D0-10C4-4CDA-8418-976235E7E3F5}"/>
    <dgm:cxn modelId="{27C00910-C226-4303-8866-345AE734DB89}" srcId="{0CFB7DD9-0DA5-4E4C-8DA3-9F1B6119F4C6}" destId="{4D29C077-1695-455C-9DAA-E15887E6F57B}" srcOrd="1" destOrd="0" parTransId="{DE3A69AF-6A99-44DF-9639-EBEE5AEFB1D1}" sibTransId="{E6AEEF36-DE94-4725-A972-AA3652B3FD65}"/>
    <dgm:cxn modelId="{4EAD2B10-4373-4C0C-A764-3743523FCA32}" srcId="{0967B97A-9CE9-40F1-BF1A-2DFA48C2D7E5}" destId="{4CA2F327-3870-47D4-9CA2-47F6BD7B246E}" srcOrd="1" destOrd="0" parTransId="{4C48EC1D-D408-4EDF-A291-3EFF51AC875B}" sibTransId="{8962F974-D458-4A1A-8166-71F8EEC350FD}"/>
    <dgm:cxn modelId="{1B879E10-8645-47F5-804A-59CBE042D040}" type="presOf" srcId="{32AAD461-4101-4CCE-B5F1-1DF7786297AA}" destId="{F0A31EE9-0D84-4B58-A5FB-9EEBE96B3F18}" srcOrd="0" destOrd="0" presId="urn:microsoft.com/office/officeart/2005/8/layout/orgChart1"/>
    <dgm:cxn modelId="{7F99ED12-EE92-463A-8B85-CD6F7D817D33}" type="presOf" srcId="{2E6699B4-D7C0-4907-BDBD-3AF139CF76BA}" destId="{1A9689D5-BDC2-40D0-BACD-244220DD3FB0}" srcOrd="0" destOrd="0" presId="urn:microsoft.com/office/officeart/2005/8/layout/orgChart1"/>
    <dgm:cxn modelId="{C8994613-9779-4E24-AF7D-5FA410ED7D72}" type="presOf" srcId="{69233474-9CCA-431F-ADB6-8A9AC33B9697}" destId="{18BE81A4-BE49-4CE9-B4C0-7842AF0A6834}" srcOrd="1" destOrd="0" presId="urn:microsoft.com/office/officeart/2005/8/layout/orgChart1"/>
    <dgm:cxn modelId="{81B9DF13-D375-4D1B-BBDD-6820F0DF1C69}" type="presOf" srcId="{95643014-9364-4ED7-A23C-11FF87634454}" destId="{E7FA0C38-05C7-4287-A09C-5E2C5DFB8C78}" srcOrd="1" destOrd="0" presId="urn:microsoft.com/office/officeart/2005/8/layout/orgChart1"/>
    <dgm:cxn modelId="{00300615-BF65-40BB-8F69-E108AA0CAAE4}" type="presOf" srcId="{BAA29A34-4B81-44E4-A28C-5904A91B195E}" destId="{DF3BF60F-9C5F-4B29-8C19-C4AEF7B49BC1}" srcOrd="0" destOrd="0" presId="urn:microsoft.com/office/officeart/2005/8/layout/orgChart1"/>
    <dgm:cxn modelId="{32834115-2896-427E-BEE3-66C6FB142C03}" type="presOf" srcId="{8CED2796-06CC-4879-8898-DC3B6031BADC}" destId="{C543158D-3980-430D-A384-76D44B8D96C4}" srcOrd="0" destOrd="0" presId="urn:microsoft.com/office/officeart/2005/8/layout/orgChart1"/>
    <dgm:cxn modelId="{41046716-985D-430E-99BA-6BA5CF32546F}" type="presOf" srcId="{2F5FEFC0-AA7D-4353-A4DF-4F4559B2E5DE}" destId="{641F49A3-7FBD-4DB2-A80E-FB04E19A7278}" srcOrd="0" destOrd="0" presId="urn:microsoft.com/office/officeart/2005/8/layout/orgChart1"/>
    <dgm:cxn modelId="{9750AA16-D5D0-4197-BC1E-1A31F2FC5CEB}" type="presOf" srcId="{1A5678EE-7A74-4A34-A4D6-D8A58BB9F46D}" destId="{363B202D-7A87-4A6C-A1F0-102131836434}" srcOrd="0" destOrd="0" presId="urn:microsoft.com/office/officeart/2005/8/layout/orgChart1"/>
    <dgm:cxn modelId="{2FBDAA17-5EF8-4E7B-99F4-5F7338DBCC15}" type="presOf" srcId="{D6F5CD79-D3E1-4B19-9C25-479267A00537}" destId="{C98E2A45-B8C9-435A-AB15-A376A21595F3}" srcOrd="1" destOrd="0" presId="urn:microsoft.com/office/officeart/2005/8/layout/orgChart1"/>
    <dgm:cxn modelId="{EC3E0018-EBB9-4B4A-A426-E0F5874BE7FF}" type="presOf" srcId="{23A96D7A-299B-4FA1-93D0-41E5DC2BDB0F}" destId="{A5DF8A86-0097-443C-87C2-CF899ADE7DE2}" srcOrd="0" destOrd="0" presId="urn:microsoft.com/office/officeart/2005/8/layout/orgChart1"/>
    <dgm:cxn modelId="{8B1E1B18-2831-486E-8C4F-17146895F395}" srcId="{DBA8929B-46BA-404E-A3FA-7CF913B88C72}" destId="{BAA29A34-4B81-44E4-A28C-5904A91B195E}" srcOrd="4" destOrd="0" parTransId="{AEE5868F-C0DE-4C6A-A255-A6B16719D8D2}" sibTransId="{03DED89A-EFDD-4140-8AFC-55BB1DCC9F2E}"/>
    <dgm:cxn modelId="{398CF318-7355-492C-86FB-8BCAB6123E7B}" srcId="{51C79718-E650-4489-9A19-46CB6F3C5E64}" destId="{E62468E0-1FF4-4D1D-A9CA-0D68F9B02BD3}" srcOrd="0" destOrd="0" parTransId="{FA73775F-96E3-4384-A1BB-0DDD667E453A}" sibTransId="{2EF6EA22-51EF-4446-8CA1-FFAD271F2CEC}"/>
    <dgm:cxn modelId="{43523619-12FC-4E6E-B805-8B55A86967B4}" type="presOf" srcId="{4D29C077-1695-455C-9DAA-E15887E6F57B}" destId="{7174D915-6D07-40F6-B8ED-C21AE65ACBC3}" srcOrd="1" destOrd="0" presId="urn:microsoft.com/office/officeart/2005/8/layout/orgChart1"/>
    <dgm:cxn modelId="{1972051A-D078-4DD7-BA94-0EC769CAF8AC}" type="presOf" srcId="{0102E4FE-20A8-44CB-9044-37DB2019EEF7}" destId="{3ADA15F7-DDC9-40CC-B66D-55B3D42160C2}" srcOrd="1" destOrd="0" presId="urn:microsoft.com/office/officeart/2005/8/layout/orgChart1"/>
    <dgm:cxn modelId="{0F59751B-090F-4AE7-9E7B-F6075FB40FDA}" type="presOf" srcId="{29E91A9B-99B2-4AFC-BEF7-B75E1714C2B9}" destId="{78CA72F4-0034-4309-B3A1-F9EB555CDFBB}" srcOrd="0" destOrd="0" presId="urn:microsoft.com/office/officeart/2005/8/layout/orgChart1"/>
    <dgm:cxn modelId="{376E901B-D3DD-44A1-AB7C-B618F4276B63}" type="presOf" srcId="{97F38E1B-8B0A-4C1C-BB0E-8DC2824BBDEE}" destId="{C57971A1-4B4D-459F-9574-A62CA6811291}" srcOrd="1" destOrd="0" presId="urn:microsoft.com/office/officeart/2005/8/layout/orgChart1"/>
    <dgm:cxn modelId="{7A9C1E1D-8629-49F1-A477-BA1C8E6F602B}" type="presOf" srcId="{F244B438-471F-46F3-AD68-B67A481F07F8}" destId="{3789F431-D3BE-4192-AF43-CCF9549511CA}" srcOrd="0" destOrd="0" presId="urn:microsoft.com/office/officeart/2005/8/layout/orgChart1"/>
    <dgm:cxn modelId="{A6E4941D-933D-40A4-B835-3A48FBDA9E04}" type="presOf" srcId="{9792CF75-292C-4BCA-A2CF-C2FA68F001BD}" destId="{094CB323-7459-4E10-949F-4ED9FC79477A}" srcOrd="0" destOrd="0" presId="urn:microsoft.com/office/officeart/2005/8/layout/orgChart1"/>
    <dgm:cxn modelId="{CC13B71F-4808-4BDC-B4EA-A2B04354692A}" type="presOf" srcId="{29E91A9B-99B2-4AFC-BEF7-B75E1714C2B9}" destId="{55C64AF7-33F4-4582-BE0B-4D92A6C57C6D}" srcOrd="1" destOrd="0" presId="urn:microsoft.com/office/officeart/2005/8/layout/orgChart1"/>
    <dgm:cxn modelId="{83F41A20-3FDC-4C1C-BCAF-C16A675725FE}" type="presOf" srcId="{4CA2F327-3870-47D4-9CA2-47F6BD7B246E}" destId="{8EAEF25F-2DD2-4D54-80B0-B5D386314CBD}" srcOrd="0" destOrd="0" presId="urn:microsoft.com/office/officeart/2005/8/layout/orgChart1"/>
    <dgm:cxn modelId="{1CF95320-6E3A-46C4-A1F3-3631642F7A87}" type="presOf" srcId="{3744F6C1-88E2-47A7-9163-48169ED23270}" destId="{F71224A8-ACCD-4895-A731-85DCA6D569ED}" srcOrd="1" destOrd="0" presId="urn:microsoft.com/office/officeart/2005/8/layout/orgChart1"/>
    <dgm:cxn modelId="{4DE58220-4FBB-4B9E-A43C-63C647C624FE}" type="presOf" srcId="{97F38E1B-8B0A-4C1C-BB0E-8DC2824BBDEE}" destId="{ACF06D77-4611-4650-98EF-5185D810B6AE}" srcOrd="0" destOrd="0" presId="urn:microsoft.com/office/officeart/2005/8/layout/orgChart1"/>
    <dgm:cxn modelId="{64CCBF20-26E8-4238-9C3F-46C106B59D3D}" type="presOf" srcId="{E3E1282F-88A6-4E37-8ADF-21463FF4DBF1}" destId="{A5E5CA5F-4423-4EEB-A2AC-9E4EFF47ECFC}" srcOrd="0" destOrd="0" presId="urn:microsoft.com/office/officeart/2005/8/layout/orgChart1"/>
    <dgm:cxn modelId="{E0596022-2755-4DF1-8557-618844E62FC8}" type="presOf" srcId="{0EE6ECD5-A3CE-456C-8DA8-E2FCAC0825C8}" destId="{D9233897-B285-4633-91EF-E2FB2CD1D1E4}" srcOrd="0" destOrd="0" presId="urn:microsoft.com/office/officeart/2005/8/layout/orgChart1"/>
    <dgm:cxn modelId="{8C4F9822-E800-4C94-8814-DD8E4E0233AD}" type="presOf" srcId="{B6389D6D-8AE5-4B3C-9BF6-CF7D2B974EDD}" destId="{9F8C18FE-4FA2-40CE-A611-AE1AD1092B1A}" srcOrd="1" destOrd="0" presId="urn:microsoft.com/office/officeart/2005/8/layout/orgChart1"/>
    <dgm:cxn modelId="{42338824-D8F2-4194-9E3E-1048092DAB41}" type="presOf" srcId="{E9CCBF3B-F7D4-491B-83ED-166AFDD5DD30}" destId="{059C22EE-4EA1-4A4E-8BEA-6527B19C8640}" srcOrd="0" destOrd="0" presId="urn:microsoft.com/office/officeart/2005/8/layout/orgChart1"/>
    <dgm:cxn modelId="{7CCC7726-07A2-4FED-B24F-82AFAD500072}" type="presOf" srcId="{73371C27-A7CB-4C2B-A967-EAD3B11B162C}" destId="{F11E0FA5-B364-4F8A-A702-D9613ECD8517}" srcOrd="0" destOrd="0" presId="urn:microsoft.com/office/officeart/2005/8/layout/orgChart1"/>
    <dgm:cxn modelId="{E57B0027-729C-4970-A2D1-69D02EED3DAF}" type="presOf" srcId="{3744F6C1-88E2-47A7-9163-48169ED23270}" destId="{98635E63-D08B-443D-A7B8-991D83873676}" srcOrd="0" destOrd="0" presId="urn:microsoft.com/office/officeart/2005/8/layout/orgChart1"/>
    <dgm:cxn modelId="{563E5C29-5C75-4D21-9C76-908CC37D507E}" type="presOf" srcId="{908A9419-1882-4813-B835-2E974B1EF0B5}" destId="{32B9F103-1A4A-48AD-A261-FD9EFC1C058C}" srcOrd="0" destOrd="0" presId="urn:microsoft.com/office/officeart/2005/8/layout/orgChart1"/>
    <dgm:cxn modelId="{4E439D29-9B91-4938-811D-7D22BCB17DAB}" type="presOf" srcId="{E5DFCF2D-8524-4D8E-AB8B-E3229044C96F}" destId="{09E0DB91-1B85-4198-B787-4E0F0BB350D5}" srcOrd="0" destOrd="0" presId="urn:microsoft.com/office/officeart/2005/8/layout/orgChart1"/>
    <dgm:cxn modelId="{7643002A-48E9-4D12-A8DA-61B11BF6E2EC}" type="presOf" srcId="{4CA2F327-3870-47D4-9CA2-47F6BD7B246E}" destId="{53241EBE-BBB2-48AB-AC10-635EEA86706C}" srcOrd="1" destOrd="0" presId="urn:microsoft.com/office/officeart/2005/8/layout/orgChart1"/>
    <dgm:cxn modelId="{41ED602A-DDE2-40C3-A4DD-D3071E55A917}" type="presOf" srcId="{1607AB97-F439-47C3-85E1-9BFBA0C3E601}" destId="{BF458C22-9F75-41D2-AB4F-0778B2B5B40B}" srcOrd="0" destOrd="0" presId="urn:microsoft.com/office/officeart/2005/8/layout/orgChart1"/>
    <dgm:cxn modelId="{1853A32B-425F-4688-8761-21FF8C0A7006}" type="presOf" srcId="{73371C27-A7CB-4C2B-A967-EAD3B11B162C}" destId="{94DC24B2-8898-4CCD-931C-1875A0478F39}" srcOrd="1" destOrd="0" presId="urn:microsoft.com/office/officeart/2005/8/layout/orgChart1"/>
    <dgm:cxn modelId="{6C551B2C-283E-449F-AECA-ABB3DEADBB42}" type="presOf" srcId="{D9DCBD92-CF2D-4FA3-9650-A94983E94475}" destId="{B14D279A-2EE9-4C38-BB08-E3A848A174A9}" srcOrd="0" destOrd="0" presId="urn:microsoft.com/office/officeart/2005/8/layout/orgChart1"/>
    <dgm:cxn modelId="{2FE9822E-B290-49A3-AE10-010AD574178D}" type="presOf" srcId="{8BB75C25-BB24-48E5-95A1-BDDD2AD67385}" destId="{4CE408D0-F3D2-47E9-9B4D-994714D670D2}" srcOrd="0" destOrd="0" presId="urn:microsoft.com/office/officeart/2005/8/layout/orgChart1"/>
    <dgm:cxn modelId="{F595972E-EAF8-409E-873F-675E790A07F6}" type="presOf" srcId="{0A1FA39F-1101-4800-8C61-3AD9D90E4CAE}" destId="{BB9FFEFF-B0D3-4A0B-A51E-267D70B7FE65}" srcOrd="0" destOrd="0" presId="urn:microsoft.com/office/officeart/2005/8/layout/orgChart1"/>
    <dgm:cxn modelId="{1882092F-B29F-4AE3-A9C0-A687D4EF2D9A}" type="presOf" srcId="{CA35F8CA-1E63-4903-842A-98290E900C11}" destId="{BD286B92-64D9-4695-846A-BB66A61AE4C1}" srcOrd="0" destOrd="0" presId="urn:microsoft.com/office/officeart/2005/8/layout/orgChart1"/>
    <dgm:cxn modelId="{E6882C2F-126F-45DF-86F1-81B83C9913D9}" type="presOf" srcId="{474A4018-4DD1-417F-A91F-005BA3B38AD9}" destId="{E8B4E636-F6EE-4FCD-8313-5C10BC0BD96E}" srcOrd="0" destOrd="0" presId="urn:microsoft.com/office/officeart/2005/8/layout/orgChart1"/>
    <dgm:cxn modelId="{3D9C692F-73D8-44DC-BA6B-A46B95299839}" type="presOf" srcId="{52322AC1-C0CA-41C2-AF77-D47B568609DC}" destId="{91D65981-C332-4F80-9A76-E4C1E868E8D5}" srcOrd="1"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A58B9E2F-4BDE-456B-B011-0675FE7CE246}" type="presOf" srcId="{FBC1385E-8795-41FA-845C-EB5AF43C2B13}" destId="{BE0C7418-3F03-4510-9D56-21F5B3B1D031}" srcOrd="0" destOrd="0" presId="urn:microsoft.com/office/officeart/2005/8/layout/orgChart1"/>
    <dgm:cxn modelId="{725EB22F-4012-43BD-BD67-17CEA36AB042}" type="presOf" srcId="{602FD50F-130C-4E3A-A16E-AF79EACA12AD}" destId="{4FCB0235-D840-4E32-AF87-A5EC10F1D21A}" srcOrd="0" destOrd="0" presId="urn:microsoft.com/office/officeart/2005/8/layout/orgChart1"/>
    <dgm:cxn modelId="{C07EC530-48DC-4843-96D7-BBAE5D20449B}" srcId="{C2E9E08C-C520-4750-9A46-099873830BC9}" destId="{D78F8BA5-129B-4522-9EA8-77CF146B46A3}" srcOrd="0" destOrd="0" parTransId="{C00698EA-AC61-4C5F-8776-C76E99D167F9}" sibTransId="{58991601-4DFC-431B-A902-3F6A7AA6F532}"/>
    <dgm:cxn modelId="{D09DE330-0330-4DF3-8A16-1187CFE1DDD2}" type="presOf" srcId="{0ACA9C09-8F23-45A6-9B79-124796FD3FA6}" destId="{43AD2866-D424-4AF3-A100-EFC5B325B720}" srcOrd="0" destOrd="0" presId="urn:microsoft.com/office/officeart/2005/8/layout/orgChart1"/>
    <dgm:cxn modelId="{B6DB1131-B221-4786-91BD-5C528DA28FDA}" type="presOf" srcId="{4EFFC1A5-282F-4F34-864A-ACD659EC7C81}" destId="{969BF57F-B9F1-4415-88F3-AE3451C18182}" srcOrd="0" destOrd="0" presId="urn:microsoft.com/office/officeart/2005/8/layout/orgChart1"/>
    <dgm:cxn modelId="{74A65B31-6601-4643-B5D8-CB72F271C728}" type="presOf" srcId="{0D1A6C0B-79D7-47A2-B0F4-33C072B0AAEA}" destId="{D7CBFE04-5150-46BC-8194-F90D3CA81AC8}" srcOrd="1" destOrd="0" presId="urn:microsoft.com/office/officeart/2005/8/layout/orgChart1"/>
    <dgm:cxn modelId="{A236AE31-A674-49EB-9F25-6469165AFFA5}" type="presOf" srcId="{0CFB7DD9-0DA5-4E4C-8DA3-9F1B6119F4C6}" destId="{6DE94ADC-319E-4C5E-823C-F2CBE9684D16}" srcOrd="0" destOrd="0" presId="urn:microsoft.com/office/officeart/2005/8/layout/orgChart1"/>
    <dgm:cxn modelId="{3D144B32-4562-45FC-A53E-CA3F515C7029}" type="presOf" srcId="{0ACA9C09-8F23-45A6-9B79-124796FD3FA6}" destId="{38452ACB-059D-4313-A3C0-746352DA3EC7}" srcOrd="1" destOrd="0" presId="urn:microsoft.com/office/officeart/2005/8/layout/orgChart1"/>
    <dgm:cxn modelId="{4F609332-3DC9-49F6-B6CA-BEA2D48015B9}" type="presOf" srcId="{0E0D5914-9733-4438-B53B-E54AED87BD25}" destId="{C6A957E2-D503-47A7-8CDB-C7577A0BA2AE}" srcOrd="1" destOrd="0" presId="urn:microsoft.com/office/officeart/2005/8/layout/orgChart1"/>
    <dgm:cxn modelId="{7F3EC632-50CA-43B2-8C58-82F39E683FA9}" srcId="{141B889D-94F1-45C1-B73E-13B1197CCCF8}" destId="{73F14857-60B0-4E0A-A5A6-05DD1561DBD7}" srcOrd="3" destOrd="0" parTransId="{CF53B9B7-FAB3-48F2-A65F-2D9954BDE9C7}" sibTransId="{42A15740-E8E4-4175-9875-94E04FB6F48B}"/>
    <dgm:cxn modelId="{6235D033-84D0-44B6-AF43-9DAD5CF2628B}" type="presOf" srcId="{0AE7F9E1-765F-489C-8C16-C7BC49A797D9}" destId="{7CB1A8DA-E4D9-48D5-946D-7D655D00310B}" srcOrd="0" destOrd="0" presId="urn:microsoft.com/office/officeart/2005/8/layout/orgChart1"/>
    <dgm:cxn modelId="{92254737-43C2-41FE-89F7-DBD4EE185282}" type="presOf" srcId="{8069AF01-BDAC-4439-9E0A-EA0793CC3F91}" destId="{778FE6CB-7FF8-4CEE-AD55-7C741090AFFD}" srcOrd="0" destOrd="0" presId="urn:microsoft.com/office/officeart/2005/8/layout/orgChart1"/>
    <dgm:cxn modelId="{120FE537-B3C0-4A26-BA5E-CEA733DF6814}" type="presOf" srcId="{04DC9C24-5C23-4AB5-9DB9-94BB85E98A7C}" destId="{A24CCB7F-4321-4494-B9BA-D9654648EAB6}" srcOrd="0"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ABDFF039-2E71-41D0-B4A8-8E469C422BA6}" type="presOf" srcId="{B5C51296-D9DC-41E3-8C72-66DFE85CD098}" destId="{A6F323F4-E546-412D-9002-0DB2C7E004A3}" srcOrd="0" destOrd="0" presId="urn:microsoft.com/office/officeart/2005/8/layout/orgChart1"/>
    <dgm:cxn modelId="{B1A81F3A-9198-4B78-B412-101C00C997E6}" type="presOf" srcId="{EF012DE2-96D0-481A-B482-7A801C17E020}" destId="{46546686-44A6-4337-B36B-572271EDCA5F}" srcOrd="0" destOrd="0" presId="urn:microsoft.com/office/officeart/2005/8/layout/orgChart1"/>
    <dgm:cxn modelId="{AB70233A-75A5-45E2-9AE3-A9788B9BE135}" type="presOf" srcId="{939AE253-A7E2-4EBA-B997-5913C2301F5A}" destId="{17F7A3BA-A21D-4120-845F-DE69BEDDBBEF}" srcOrd="0" destOrd="0" presId="urn:microsoft.com/office/officeart/2005/8/layout/orgChart1"/>
    <dgm:cxn modelId="{4F17263A-DD01-4E37-BC29-3ADA59D42E7F}" type="presOf" srcId="{424E63FB-7A5E-47ED-BA8E-381C8BEA7B4D}" destId="{BC04273A-8A7F-4612-9123-AD3244BE082A}" srcOrd="1" destOrd="0" presId="urn:microsoft.com/office/officeart/2005/8/layout/orgChart1"/>
    <dgm:cxn modelId="{38FC403C-9EB6-4834-AB9A-91A707DC1648}" type="presOf" srcId="{16CD9583-BD21-4156-92D6-71CDB340D1AD}" destId="{FDD155F9-F696-4A47-89DA-2C64DF50A969}" srcOrd="0" destOrd="0" presId="urn:microsoft.com/office/officeart/2005/8/layout/orgChart1"/>
    <dgm:cxn modelId="{4E776E3D-F04B-4FFD-A4D3-0A34C8DE876D}" type="presOf" srcId="{D9DCBD92-CF2D-4FA3-9650-A94983E94475}" destId="{65C637A1-AD69-4342-9991-7D100AE66DCA}" srcOrd="1" destOrd="0" presId="urn:microsoft.com/office/officeart/2005/8/layout/orgChart1"/>
    <dgm:cxn modelId="{AC01413E-D8EC-46AD-9278-DB947A834FAF}" type="presOf" srcId="{92338313-9670-40FB-8040-D372407E9060}" destId="{22193A27-4D0B-4A38-8C4D-9CB3FA74BB9B}" srcOrd="1" destOrd="0" presId="urn:microsoft.com/office/officeart/2005/8/layout/orgChart1"/>
    <dgm:cxn modelId="{7241A540-84B9-4248-A8C9-589551961BC5}" srcId="{0CFB7DD9-0DA5-4E4C-8DA3-9F1B6119F4C6}" destId="{03DF699C-3176-485E-B584-5BC85EC703ED}" srcOrd="2" destOrd="0" parTransId="{FDDB7EEE-AB02-47E4-B007-CB2A762CB7F9}" sibTransId="{C3CA3D16-3F50-4C85-8F9B-29F6F52233B6}"/>
    <dgm:cxn modelId="{DEBCF55B-9351-4B85-930F-C253B0C6C0FE}" type="presOf" srcId="{8D244D8F-C792-40BC-A511-7DE39E45E194}" destId="{870B33F5-4B7C-42CB-A41E-B6450C2B1589}" srcOrd="0" destOrd="0" presId="urn:microsoft.com/office/officeart/2005/8/layout/orgChart1"/>
    <dgm:cxn modelId="{528C745D-F56C-411C-86B7-BC347B7BC1B7}" type="presOf" srcId="{9DD1E46F-B70E-477E-9BFB-696199DB6F2F}" destId="{5D4275E7-1DDD-4041-B6A5-4A2D33BED9F0}" srcOrd="0" destOrd="0" presId="urn:microsoft.com/office/officeart/2005/8/layout/orgChart1"/>
    <dgm:cxn modelId="{8A5A8A5D-A8FD-4178-BED8-BB6C1E4DC2BB}" type="presOf" srcId="{F488A61D-44A8-43AF-8D4D-9D3A28823A7B}" destId="{A398FD51-39BC-43D7-A728-219B46F9D927}" srcOrd="0" destOrd="0" presId="urn:microsoft.com/office/officeart/2005/8/layout/orgChart1"/>
    <dgm:cxn modelId="{24B6CF5D-F4FA-4E02-875F-0D68C0110DCF}" type="presOf" srcId="{9DD1E46F-B70E-477E-9BFB-696199DB6F2F}" destId="{A44E655F-FD1D-463B-8517-9098360FB7F0}" srcOrd="1" destOrd="0" presId="urn:microsoft.com/office/officeart/2005/8/layout/orgChart1"/>
    <dgm:cxn modelId="{9C563B5E-95A1-4FD2-A0CE-24A0B34564D1}" type="presOf" srcId="{C5F5B592-B7BB-47AA-9A5B-E0F4DC1378F7}" destId="{EE60031E-25B9-4107-A7D1-12F328DB4F2B}" srcOrd="1" destOrd="0" presId="urn:microsoft.com/office/officeart/2005/8/layout/orgChart1"/>
    <dgm:cxn modelId="{3AC19460-936F-4209-8515-7962D741C18B}" srcId="{DBA8929B-46BA-404E-A3FA-7CF913B88C72}" destId="{32AAD461-4101-4CCE-B5F1-1DF7786297AA}" srcOrd="1" destOrd="0" parTransId="{1E24733A-326F-47E5-A424-6C2AAFD45BB8}" sibTransId="{858E38EC-FC02-449B-AC4D-920F44E8CB08}"/>
    <dgm:cxn modelId="{F78A2661-38B6-4BBB-BB1B-DE735250429B}" type="presOf" srcId="{F9922145-9B07-49CE-9FA6-B33C82D2B167}" destId="{1FB9DFAA-3011-404B-B2FB-82DE1D530E40}" srcOrd="0" destOrd="0" presId="urn:microsoft.com/office/officeart/2005/8/layout/orgChart1"/>
    <dgm:cxn modelId="{D2C33861-8863-44F5-951A-844E03C42338}" type="presOf" srcId="{395B0B9C-8BE5-4D37-98FF-538F94774664}" destId="{DB3C6A4B-3272-4325-9E35-F20BD263E93A}" srcOrd="1" destOrd="0" presId="urn:microsoft.com/office/officeart/2005/8/layout/orgChart1"/>
    <dgm:cxn modelId="{CC627141-8313-4E1C-A22B-17B2B02D4D16}" type="presOf" srcId="{8AB7F64B-E4EA-46A3-93C5-530B1FAAB3A0}" destId="{A61B1158-AD48-4FDE-9AD6-9D79FABF5551}" srcOrd="0" destOrd="0" presId="urn:microsoft.com/office/officeart/2005/8/layout/orgChart1"/>
    <dgm:cxn modelId="{0011C361-CEB0-4C7C-8901-572C8A92B454}" type="presOf" srcId="{EC169E66-03F5-48A6-B577-578CD2F1BBCD}" destId="{0E2E5F0D-12BE-4204-8137-F7ACE46ACF19}" srcOrd="1" destOrd="0" presId="urn:microsoft.com/office/officeart/2005/8/layout/orgChart1"/>
    <dgm:cxn modelId="{9476CA61-1FA6-4CEF-AD42-17CF9447ED52}" type="presOf" srcId="{E2EC6A85-58E6-4744-B75D-3324C60D8EE8}" destId="{AABF7258-3A68-4C50-8C9F-5B0A348FD5D4}" srcOrd="0" destOrd="0" presId="urn:microsoft.com/office/officeart/2005/8/layout/orgChart1"/>
    <dgm:cxn modelId="{214D5342-1A62-49F9-BC13-7E766CBCF91A}" type="presOf" srcId="{1FA32465-79CA-43E4-925C-FD9E6E9DB5C8}" destId="{7AB58FFB-A548-4EF5-A6EB-D2199C1AC0A9}" srcOrd="1" destOrd="0" presId="urn:microsoft.com/office/officeart/2005/8/layout/orgChart1"/>
    <dgm:cxn modelId="{706C7842-89AE-4A03-BA45-8AD883C87E70}" type="presOf" srcId="{52322AC1-C0CA-41C2-AF77-D47B568609DC}" destId="{37EA8AB1-7584-4A32-9145-69668D71E8F4}" srcOrd="0" destOrd="0" presId="urn:microsoft.com/office/officeart/2005/8/layout/orgChart1"/>
    <dgm:cxn modelId="{08448042-9ECE-4B88-97E7-D4485AC62D89}" srcId="{4EDFDD96-7D03-4644-B893-2DE9B7516A86}" destId="{BC5B252E-CFEA-432E-A23C-820CF26C7CFC}" srcOrd="2" destOrd="0" parTransId="{90C11742-7AB7-4673-9EB2-8F639E1AB031}" sibTransId="{3C043A11-34D8-4CB9-ACC4-387E6291DDD5}"/>
    <dgm:cxn modelId="{C552F942-1B7C-4AFB-821A-4D72C958D1CB}" srcId="{0102E4FE-20A8-44CB-9044-37DB2019EEF7}" destId="{8D244D8F-C792-40BC-A511-7DE39E45E194}" srcOrd="0" destOrd="0" parTransId="{D6922E7D-1806-4E3F-8FA5-876C5E53C8A8}" sibTransId="{0BEBD46A-8D07-492E-B8B0-DBB8BC9382EB}"/>
    <dgm:cxn modelId="{F7B39863-F441-4CB4-B6C1-7821A2D3B1EE}" type="presOf" srcId="{32AAD461-4101-4CCE-B5F1-1DF7786297AA}" destId="{9FD37CD4-3247-4FB2-BFAC-5564929EF05C}" srcOrd="1" destOrd="0" presId="urn:microsoft.com/office/officeart/2005/8/layout/orgChart1"/>
    <dgm:cxn modelId="{4A7C4844-AC27-4F1B-85EA-8DD21F1BE979}" srcId="{DBA8929B-46BA-404E-A3FA-7CF913B88C72}" destId="{04DC9C24-5C23-4AB5-9DB9-94BB85E98A7C}" srcOrd="2" destOrd="0" parTransId="{8B5D55A5-366A-4826-9AF4-7B41BA2748AB}" sibTransId="{4884A378-FB79-46C6-9906-803738CF28CB}"/>
    <dgm:cxn modelId="{49B07064-DF92-43C5-B07B-C2983528C311}" type="presOf" srcId="{BE31271E-A076-4ED9-AC21-79688A8463AF}" destId="{A1288FD9-0836-4D08-B58F-EF9A3506BE74}" srcOrd="1" destOrd="0" presId="urn:microsoft.com/office/officeart/2005/8/layout/orgChart1"/>
    <dgm:cxn modelId="{4AADC764-75A1-43AD-9E41-5AAF7E194DC8}" type="presOf" srcId="{0AE7F9E1-765F-489C-8C16-C7BC49A797D9}" destId="{9C8A86D7-C706-4FB6-A092-1CB6C0E1A12B}" srcOrd="1" destOrd="0" presId="urn:microsoft.com/office/officeart/2005/8/layout/orgChart1"/>
    <dgm:cxn modelId="{61FFD064-7AA7-4F06-AB90-CF2BF26D6BDB}" type="presOf" srcId="{7B0E8674-AF5F-4D43-BDCB-E4D39514593E}" destId="{0C03C1CE-E351-4370-B37B-BCBBA6EACE73}" srcOrd="0" destOrd="0" presId="urn:microsoft.com/office/officeart/2005/8/layout/orgChart1"/>
    <dgm:cxn modelId="{0B06A545-F7FA-4E92-9E10-17CE2A337029}" srcId="{424E63FB-7A5E-47ED-BA8E-381C8BEA7B4D}" destId="{F02C7DD0-38B5-42D3-B052-77C4D943365F}" srcOrd="2" destOrd="0" parTransId="{3C430132-43C1-47EF-A156-1D4161537981}" sibTransId="{50138A85-8EAD-497B-B628-3150CB39B50A}"/>
    <dgm:cxn modelId="{A70E7746-DB26-499C-A05C-CEE5B0E2370D}" type="presOf" srcId="{622DEC80-7D3B-489F-A688-386A3BD66E46}" destId="{66858752-8592-4427-9C05-544B0C2DA08B}" srcOrd="0"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EB964647-B314-4528-9A66-ED2186FA5D9B}" type="presOf" srcId="{E1527C33-CFAA-4D8C-96C4-EE6231657CF0}" destId="{8A028E31-9872-4846-A415-D4FC3ADFCDE2}" srcOrd="0" destOrd="0" presId="urn:microsoft.com/office/officeart/2005/8/layout/orgChart1"/>
    <dgm:cxn modelId="{D95D9367-6CF8-455A-ABF2-806D900F789D}" type="presOf" srcId="{FA075ABC-5CA4-4216-8E88-E8C82245409F}" destId="{E0236C2B-A9D3-4E97-8A2C-9AEC28E97E16}" srcOrd="0" destOrd="0" presId="urn:microsoft.com/office/officeart/2005/8/layout/orgChart1"/>
    <dgm:cxn modelId="{ED079B67-B0BB-4E77-80DB-E412C9BDE430}" type="presOf" srcId="{8B5D55A5-366A-4826-9AF4-7B41BA2748AB}" destId="{610AECA4-B1FF-469D-AC28-D762F69B2F2E}" srcOrd="0" destOrd="0" presId="urn:microsoft.com/office/officeart/2005/8/layout/orgChart1"/>
    <dgm:cxn modelId="{E7EAAF67-9ED0-48A0-A7FB-0F1E4B28E810}" type="presOf" srcId="{DBA8929B-46BA-404E-A3FA-7CF913B88C72}" destId="{606E79EA-2C65-434A-80DC-F30777D77F88}" srcOrd="1" destOrd="0" presId="urn:microsoft.com/office/officeart/2005/8/layout/orgChart1"/>
    <dgm:cxn modelId="{7F9D5568-A283-4D6B-B15C-78EA80D23AEC}" srcId="{8BB75C25-BB24-48E5-95A1-BDDD2AD67385}" destId="{BE31271E-A076-4ED9-AC21-79688A8463AF}" srcOrd="2" destOrd="0" parTransId="{908A9419-1882-4813-B835-2E974B1EF0B5}" sibTransId="{C50AA7D3-A272-439F-B2DE-863B3E1B0838}"/>
    <dgm:cxn modelId="{9811696A-4BC8-42BD-A75C-8A9C0D692971}" type="presOf" srcId="{0BE60257-9C66-40C0-84CD-AFEBF2C7CB42}" destId="{0696EA4D-BDC7-4143-984E-E4653F1FF589}" srcOrd="0" destOrd="0" presId="urn:microsoft.com/office/officeart/2005/8/layout/orgChart1"/>
    <dgm:cxn modelId="{AF13794A-D677-4F6D-9D37-D0C4A4B50CE2}" type="presOf" srcId="{69233474-9CCA-431F-ADB6-8A9AC33B9697}" destId="{04EFE57A-346A-4D7D-BE14-72E0464E83A8}" srcOrd="0" destOrd="0" presId="urn:microsoft.com/office/officeart/2005/8/layout/orgChart1"/>
    <dgm:cxn modelId="{0924B94A-7D82-4FDE-96B2-98067619C1A0}" type="presOf" srcId="{14FC8420-D447-4CEA-A3B7-61E9B3749D8E}" destId="{09B6F1F9-FA3F-40F5-BC5E-39060C10CE30}" srcOrd="1"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B7D1D96A-3311-42A6-95E4-ADEB798CB0AE}" srcId="{5901CCA6-EF9E-4F05-B532-AFA0A830E4D5}" destId="{23A96D7A-299B-4FA1-93D0-41E5DC2BDB0F}" srcOrd="0" destOrd="0" parTransId="{E9B60A7F-1B58-4875-83A0-42F3D1E4F7F2}" sibTransId="{2B4DE4BC-1F11-40B8-BA40-4D746CA32CA5}"/>
    <dgm:cxn modelId="{42E5784B-3CFB-410B-9C4F-68A19AA19CE0}" type="presOf" srcId="{F26A6E32-5FBB-4CEF-BDB1-A0E805534581}" destId="{A66D8451-CF02-4BD7-A0A7-1033B7C24191}" srcOrd="0" destOrd="0" presId="urn:microsoft.com/office/officeart/2005/8/layout/orgChart1"/>
    <dgm:cxn modelId="{6A6DBD6B-6252-4602-8829-80C880F19F87}" srcId="{C2E9E08C-C520-4750-9A46-099873830BC9}" destId="{29E91A9B-99B2-4AFC-BEF7-B75E1714C2B9}" srcOrd="3" destOrd="0" parTransId="{B5C51296-D9DC-41E3-8C72-66DFE85CD098}" sibTransId="{F567C1AA-2272-49AC-B418-AE9131F21689}"/>
    <dgm:cxn modelId="{4B72C14B-FF9D-4F26-B2D3-F4C2A9E074ED}" type="presOf" srcId="{B3F45023-E1E3-43C0-B67F-AD1E7AC51078}" destId="{FC14D896-E8C1-4EED-9966-D6B21845F566}" srcOrd="1" destOrd="0" presId="urn:microsoft.com/office/officeart/2005/8/layout/orgChart1"/>
    <dgm:cxn modelId="{3921546C-D291-404E-9D62-6D24E84A87D6}" type="presOf" srcId="{E5E9916D-2D7F-4C7A-A808-9D88F35BEC5A}" destId="{0A63D2F4-C327-4936-997D-E8A37FF9B974}" srcOrd="0" destOrd="0" presId="urn:microsoft.com/office/officeart/2005/8/layout/orgChart1"/>
    <dgm:cxn modelId="{D5E0544C-8536-4093-9581-DE91C63EF084}" type="presOf" srcId="{8BB75C25-BB24-48E5-95A1-BDDD2AD67385}" destId="{0C119077-4FBF-401B-9C59-35B6841A35C3}" srcOrd="1" destOrd="0" presId="urn:microsoft.com/office/officeart/2005/8/layout/orgChart1"/>
    <dgm:cxn modelId="{E1D97B6C-FA66-4298-AF7F-D53144236D57}" srcId="{BE31271E-A076-4ED9-AC21-79688A8463AF}" destId="{FF33A1DC-33CA-4A96-A73E-D356FF7B6865}" srcOrd="1" destOrd="0" parTransId="{83D46465-EBBF-4F96-A727-54A60F3A5461}" sibTransId="{4F0D8F7A-2E41-4B0F-A954-3A60320C4172}"/>
    <dgm:cxn modelId="{0500DF4C-C33D-4DE5-A6EC-8DE63750B078}" type="presOf" srcId="{A0B83806-C4D6-4BA9-80A3-2DDA75DFD0F0}" destId="{9A11771F-7123-429D-8558-F258DF2EEEC2}" srcOrd="0" destOrd="0" presId="urn:microsoft.com/office/officeart/2005/8/layout/orgChart1"/>
    <dgm:cxn modelId="{30C90F4D-A003-4223-B7C2-DBAD71C0DCEE}" type="presOf" srcId="{3E4366ED-56BD-4CD2-B25D-EC6A6CBD67C3}" destId="{23D87327-71F4-48D0-986F-7F66A9CA5030}" srcOrd="0" destOrd="0" presId="urn:microsoft.com/office/officeart/2005/8/layout/orgChart1"/>
    <dgm:cxn modelId="{7265386D-64AB-4910-A747-7C213199EAC1}" type="presOf" srcId="{236AA128-08C9-44E9-A07E-E9063EC662C7}" destId="{2A43BD9C-9759-4D65-846B-4530F5DD0CAD}" srcOrd="1" destOrd="0" presId="urn:microsoft.com/office/officeart/2005/8/layout/orgChart1"/>
    <dgm:cxn modelId="{30403C6D-A18C-4BAF-BF80-912EC8CC225C}" type="presOf" srcId="{C8F46018-B988-46AE-BE3D-A99F5B406FD6}" destId="{38B49250-75E7-4441-9A27-39B3670C462C}" srcOrd="0" destOrd="0" presId="urn:microsoft.com/office/officeart/2005/8/layout/orgChart1"/>
    <dgm:cxn modelId="{8948234E-8FB9-4AD3-9AD2-BB48C6B78A1A}" type="presOf" srcId="{95643014-9364-4ED7-A23C-11FF87634454}" destId="{27F7AE64-A30D-4D24-959B-7576B13E78D3}" srcOrd="0" destOrd="0" presId="urn:microsoft.com/office/officeart/2005/8/layout/orgChart1"/>
    <dgm:cxn modelId="{DC1CEE4F-936B-4D37-90D8-DA4A92F371C5}" type="presOf" srcId="{900F9B5B-B201-41E8-9F84-B4A949821D1D}" destId="{14AD741D-1044-421E-B51F-D36961D4CACA}" srcOrd="0" destOrd="0" presId="urn:microsoft.com/office/officeart/2005/8/layout/orgChart1"/>
    <dgm:cxn modelId="{ACB1E470-36D4-415A-89B8-21A871FCAE36}" type="presOf" srcId="{D39B8DD9-864C-4EB7-9F89-A2AD12438034}" destId="{174E4B96-9907-484D-AF03-FD9780FF466C}" srcOrd="0" destOrd="0" presId="urn:microsoft.com/office/officeart/2005/8/layout/orgChart1"/>
    <dgm:cxn modelId="{0C568051-5D65-458D-B705-976CF3A793C1}" type="presOf" srcId="{C2E9E08C-C520-4750-9A46-099873830BC9}" destId="{1C849335-50E5-4414-A615-F49699DB7FD2}" srcOrd="0" destOrd="0" presId="urn:microsoft.com/office/officeart/2005/8/layout/orgChart1"/>
    <dgm:cxn modelId="{08F14072-591D-4EF9-A405-62E2ABC72C8D}" type="presOf" srcId="{C2E9E08C-C520-4750-9A46-099873830BC9}" destId="{95925107-44DC-4B69-A320-A040CFD26CB5}" srcOrd="1" destOrd="0" presId="urn:microsoft.com/office/officeart/2005/8/layout/orgChart1"/>
    <dgm:cxn modelId="{BD7FAB52-FAD6-4390-8995-8905AB392D0D}" srcId="{D6F5CD79-D3E1-4B19-9C25-479267A00537}" destId="{78FB916E-F97F-44B1-B3A4-DE90A19BAA02}" srcOrd="1" destOrd="0" parTransId="{24E2A750-A25B-4634-A2F1-F44DEFB9DCCF}" sibTransId="{EF005D9C-9179-4043-94FB-D0CD0F089A4F}"/>
    <dgm:cxn modelId="{2411D672-4E22-459B-BFAB-6E343050D4A2}" srcId="{424E63FB-7A5E-47ED-BA8E-381C8BEA7B4D}" destId="{236AA128-08C9-44E9-A07E-E9063EC662C7}" srcOrd="3" destOrd="0" parTransId="{884057CA-0B89-411E-8EB7-D1A853F68475}" sibTransId="{F41E9E71-9197-4A71-B7B2-3E3B1E0E7084}"/>
    <dgm:cxn modelId="{120A1353-620C-4F92-A41A-CEF2A528D877}" type="presOf" srcId="{47A38D87-1F99-47B5-8B83-1A291E09C85B}" destId="{B1335B4F-1103-4BCB-A00E-16B6A60F8564}" srcOrd="0" destOrd="0" presId="urn:microsoft.com/office/officeart/2005/8/layout/orgChart1"/>
    <dgm:cxn modelId="{B266B273-13A5-4C1A-AEE5-8C81BA2C348A}" type="presOf" srcId="{B0D67059-EF7D-43CE-8506-8E9B5868DB0C}" destId="{2477F0E8-C553-4E88-927C-3C8AE2E8F105}" srcOrd="0" destOrd="0" presId="urn:microsoft.com/office/officeart/2005/8/layout/orgChart1"/>
    <dgm:cxn modelId="{907FDB73-9664-4581-B25A-F0B55A5D2AAC}" type="presOf" srcId="{E9B60A7F-1B58-4875-83A0-42F3D1E4F7F2}" destId="{6A8EB647-D4D3-494A-9154-765638C60C1C}" srcOrd="0" destOrd="0" presId="urn:microsoft.com/office/officeart/2005/8/layout/orgChart1"/>
    <dgm:cxn modelId="{24250954-588E-462D-BBCF-1FDD6CD90C89}" type="presOf" srcId="{C8F46018-B988-46AE-BE3D-A99F5B406FD6}" destId="{D8EC790C-3954-49D7-A280-41D6C40FFE73}" srcOrd="1" destOrd="0" presId="urn:microsoft.com/office/officeart/2005/8/layout/orgChart1"/>
    <dgm:cxn modelId="{7480DC74-6858-4517-88F7-099D62F84C9B}" type="presOf" srcId="{51C79718-E650-4489-9A19-46CB6F3C5E64}" destId="{B0923FD3-58F2-4640-BE40-C1D32CCA3D1F}" srcOrd="1" destOrd="0" presId="urn:microsoft.com/office/officeart/2005/8/layout/orgChart1"/>
    <dgm:cxn modelId="{3DDBE774-CCB7-48A1-9466-3291D9E40F20}" type="presOf" srcId="{4EDFDD96-7D03-4644-B893-2DE9B7516A86}" destId="{B88F1C60-EBDC-4C39-9D4A-43DE9407F41A}" srcOrd="0" destOrd="0" presId="urn:microsoft.com/office/officeart/2005/8/layout/orgChart1"/>
    <dgm:cxn modelId="{2471F474-5F53-470C-9F2B-97E0E8CC0CFF}" type="presOf" srcId="{9BA5D052-04F8-4177-9923-A4FEA4524647}" destId="{41DE91AE-6FB3-45E3-969B-F3A14899419F}" srcOrd="1"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4D29C077-1695-455C-9DAA-E15887E6F57B}" destId="{0E0D5914-9733-4438-B53B-E54AED87BD25}" srcOrd="2" destOrd="0" parTransId="{C025D0B3-3453-4AB2-8C0D-9A93251A872D}" sibTransId="{D8EA48FB-2A30-458D-BF2E-504D6379A563}"/>
    <dgm:cxn modelId="{3156A055-E282-4BB6-A461-AA7469CF6DD2}" srcId="{D9DCBD92-CF2D-4FA3-9650-A94983E94475}" destId="{C5F5B592-B7BB-47AA-9A5B-E0F4DC1378F7}" srcOrd="0" destOrd="0" parTransId="{C45B11D6-E688-469D-B37A-64BDB4F13BD1}" sibTransId="{AFD1742D-1041-4A9B-BF89-01FD0FC0FF1E}"/>
    <dgm:cxn modelId="{2BBB8456-D418-4CF9-BBAC-CF372D764804}" srcId="{0967B97A-9CE9-40F1-BF1A-2DFA48C2D7E5}" destId="{1E766082-A467-492E-B298-169535B5EB3A}" srcOrd="0" destOrd="0" parTransId="{6461F17E-7831-494C-9098-041A0F5DDE37}" sibTransId="{04239489-ACF3-410A-A0B0-06FB7CDB6643}"/>
    <dgm:cxn modelId="{E83E9076-DFDD-4333-9CDC-7502DBB3E9F5}" type="presOf" srcId="{F90F24E4-2334-448C-81F9-6BD5CF8505B6}" destId="{7D351816-7249-4C05-91C0-3491952B7781}" srcOrd="0" destOrd="0" presId="urn:microsoft.com/office/officeart/2005/8/layout/orgChart1"/>
    <dgm:cxn modelId="{266BE956-538E-44B5-9473-7EAD797E23AB}" type="presOf" srcId="{47A20913-4A00-4A4F-AF25-41A6AF336370}" destId="{33E8EBCD-330D-4159-85A7-FFCDEC90A699}" srcOrd="0" destOrd="0" presId="urn:microsoft.com/office/officeart/2005/8/layout/orgChart1"/>
    <dgm:cxn modelId="{5674EC56-7284-401F-B9D6-9A37111DF4F8}" srcId="{8D244D8F-C792-40BC-A511-7DE39E45E194}" destId="{939AE253-A7E2-4EBA-B997-5913C2301F5A}" srcOrd="1" destOrd="0" parTransId="{CB1CFF7C-42F1-4A09-8B31-0773BB970F24}" sibTransId="{8DE7717C-7BB8-4CCA-B0CF-5548E227F675}"/>
    <dgm:cxn modelId="{A4711C57-18A5-4DFE-BC3A-12F616BE7FF3}" srcId="{B3F45023-E1E3-43C0-B67F-AD1E7AC51078}" destId="{395B0B9C-8BE5-4D37-98FF-538F94774664}" srcOrd="3" destOrd="0" parTransId="{47A20913-4A00-4A4F-AF25-41A6AF336370}" sibTransId="{DCECAF93-3D80-4C71-9894-C8313D91CD53}"/>
    <dgm:cxn modelId="{65B32A58-7744-466B-A851-E1C44F0D5AEF}" type="presOf" srcId="{BAA29A34-4B81-44E4-A28C-5904A91B195E}" destId="{549D9CBE-2475-49D8-8C4D-7BA4C56234FC}" srcOrd="1" destOrd="0" presId="urn:microsoft.com/office/officeart/2005/8/layout/orgChart1"/>
    <dgm:cxn modelId="{3F43AF78-D2B5-4D3F-866B-03EB2A3A01FC}" type="presOf" srcId="{5901CCA6-EF9E-4F05-B532-AFA0A830E4D5}" destId="{05F683E2-330C-40C4-9190-E65F5EDC75CF}" srcOrd="0" destOrd="0" presId="urn:microsoft.com/office/officeart/2005/8/layout/orgChart1"/>
    <dgm:cxn modelId="{F52AD278-B384-4C41-A0FA-0D2D6C56CD63}" srcId="{86AF350A-A785-4BDD-9C13-1E90196942B4}" destId="{1A5678EE-7A74-4A34-A4D6-D8A58BB9F46D}" srcOrd="1" destOrd="0" parTransId="{9253C293-8A26-4831-8892-0E3BDAEC8E19}" sibTransId="{FA8E55BD-E4A6-42B2-8FA8-BFF24085AE4E}"/>
    <dgm:cxn modelId="{38C0C959-FFF5-4053-9BFB-DEC9C7E583FC}" type="presOf" srcId="{14FC8420-D447-4CEA-A3B7-61E9B3749D8E}" destId="{BE47A5DE-EE30-49CB-AFBD-8B1C93DA5FCE}" srcOrd="0" destOrd="0" presId="urn:microsoft.com/office/officeart/2005/8/layout/orgChart1"/>
    <dgm:cxn modelId="{8A23767A-9C3F-4E56-B59C-7BCEF096F684}" srcId="{025397C8-278A-4FB7-A986-A1B487EA1563}" destId="{E5E9916D-2D7F-4C7A-A808-9D88F35BEC5A}" srcOrd="2" destOrd="0" parTransId="{6EAA41E0-1525-42E3-A200-48C0FE921E72}" sibTransId="{4AC5E256-0BCF-40E2-AEBD-A2D1A83F40E2}"/>
    <dgm:cxn modelId="{B7AC3C7B-0BE2-4CB7-AD76-781FCBA9DD7A}" srcId="{8D244D8F-C792-40BC-A511-7DE39E45E194}" destId="{B6389D6D-8AE5-4B3C-9BF6-CF7D2B974EDD}" srcOrd="0" destOrd="0" parTransId="{B5B99BBF-342F-4A4E-BF02-3E97606E944D}" sibTransId="{9C75F253-3EC4-44CF-866A-C32D08314D38}"/>
    <dgm:cxn modelId="{A1DE277C-289C-4EE0-A40F-3A91E3251A36}" srcId="{4EDFDD96-7D03-4644-B893-2DE9B7516A86}" destId="{C5CC5A86-BAF4-4043-A05F-3690D26C1FF0}" srcOrd="3" destOrd="0" parTransId="{38E2739B-73BB-4928-87AA-26706E9E2406}" sibTransId="{DBCACF38-0C58-44E0-A045-7184286A555C}"/>
    <dgm:cxn modelId="{5FE67B7C-3611-4E60-B158-928B775877F2}" type="presOf" srcId="{6EAA41E0-1525-42E3-A200-48C0FE921E72}" destId="{F790520A-43F4-4739-A2CA-F8C4C7F8482F}" srcOrd="0" destOrd="0" presId="urn:microsoft.com/office/officeart/2005/8/layout/orgChart1"/>
    <dgm:cxn modelId="{5A82987D-2572-44DD-86A0-EB929986CFF0}" type="presOf" srcId="{1607AB97-F439-47C3-85E1-9BFBA0C3E601}" destId="{B0108ABA-9E23-4C64-A775-FA4D0416F932}" srcOrd="1" destOrd="0" presId="urn:microsoft.com/office/officeart/2005/8/layout/orgChart1"/>
    <dgm:cxn modelId="{6D39E57D-C993-4991-9996-8F7120E6F842}" type="presOf" srcId="{F02C7DD0-38B5-42D3-B052-77C4D943365F}" destId="{7F6D4C22-24BE-4C4A-A536-636EFFE5A292}" srcOrd="1" destOrd="0" presId="urn:microsoft.com/office/officeart/2005/8/layout/orgChart1"/>
    <dgm:cxn modelId="{AD7A2B7E-65A4-458E-9A02-A18E82620DF8}" srcId="{D5E38E4B-FED5-4A0A-B8AA-8728BED387A3}" destId="{B3F45023-E1E3-43C0-B67F-AD1E7AC51078}" srcOrd="0" destOrd="0" parTransId="{E5DFCF2D-8524-4D8E-AB8B-E3229044C96F}" sibTransId="{C9664199-173B-4D48-A43A-0784E524AFD3}"/>
    <dgm:cxn modelId="{25A7167F-DF6B-457E-B8FE-9C31F86E5923}" srcId="{97F38E1B-8B0A-4C1C-BB0E-8DC2824BBDEE}" destId="{86AF350A-A785-4BDD-9C13-1E90196942B4}" srcOrd="0" destOrd="0" parTransId="{B7B3C6AE-DFBB-46A9-8CF1-A1BD803B9409}" sibTransId="{E2A53098-4FAB-4666-9DF9-9FFC35DA3367}"/>
    <dgm:cxn modelId="{DE313F7F-6E99-4435-AC62-76CBB5FC2ACE}" type="presOf" srcId="{809B22AA-EB2B-4C4F-82C3-E979FD4CF357}" destId="{FFF75D31-3CF0-4E0B-BC27-9EA425F70DE6}" srcOrd="1" destOrd="0" presId="urn:microsoft.com/office/officeart/2005/8/layout/orgChart1"/>
    <dgm:cxn modelId="{90A22982-35F0-4690-94C9-FC7C7030A57B}" srcId="{03DF699C-3176-485E-B584-5BC85EC703ED}" destId="{14FC8420-D447-4CEA-A3B7-61E9B3749D8E}" srcOrd="3" destOrd="0" parTransId="{EC92CB9E-5DFE-4287-A9E0-4954C06F656B}" sibTransId="{E9188AE6-C38D-49A6-B8A2-AFBE7B3ACBE6}"/>
    <dgm:cxn modelId="{47D78182-5DB7-4567-9CCC-818B6B2BD2CA}" type="presOf" srcId="{971055BB-A4A3-40DF-B506-54605DDFB45E}" destId="{D6C7C9A0-0C6B-456C-B363-30D75AB44259}" srcOrd="1" destOrd="0" presId="urn:microsoft.com/office/officeart/2005/8/layout/orgChart1"/>
    <dgm:cxn modelId="{31445A83-4553-44E4-821D-2C5604D41E0F}" type="presOf" srcId="{E2157045-4CE0-40CE-9C58-F4043DF91E33}" destId="{FA9F7A91-9535-4A9D-A525-1C7B52AA3CAD}" srcOrd="1" destOrd="0" presId="urn:microsoft.com/office/officeart/2005/8/layout/orgChart1"/>
    <dgm:cxn modelId="{0A638183-8299-4CDE-BC82-3A0C2330690A}" srcId="{C5F5B592-B7BB-47AA-9A5B-E0F4DC1378F7}" destId="{1607AB97-F439-47C3-85E1-9BFBA0C3E601}" srcOrd="0" destOrd="0" parTransId="{CA35F8CA-1E63-4903-842A-98290E900C11}" sibTransId="{2AEF5ABC-50E3-47AD-AD87-476B2812F597}"/>
    <dgm:cxn modelId="{FF1ADF84-E6C5-4224-B158-3C661DD791A2}" type="presOf" srcId="{DBA8929B-46BA-404E-A3FA-7CF913B88C72}" destId="{78556E91-42EC-43E1-978E-658D4DDDD109}" srcOrd="0" destOrd="0" presId="urn:microsoft.com/office/officeart/2005/8/layout/orgChart1"/>
    <dgm:cxn modelId="{6951F884-A074-4043-845D-E2A875D5E9CA}" type="presOf" srcId="{B5B99BBF-342F-4A4E-BF02-3E97606E944D}" destId="{1C8E36A6-0B49-41D1-8A97-D670B1ADDBFB}" srcOrd="0" destOrd="0" presId="urn:microsoft.com/office/officeart/2005/8/layout/orgChart1"/>
    <dgm:cxn modelId="{E81CE985-107C-46B1-8E6F-793372A7C67F}" srcId="{905ED552-0ABB-46DE-A60F-9DB1B7EBD348}" destId="{52322AC1-C0CA-41C2-AF77-D47B568609DC}" srcOrd="1" destOrd="0" parTransId="{3BEC5FAA-E4C7-4310-8BF8-FD6D6CD14D5D}" sibTransId="{4588D817-B422-419C-9BBD-93DD8ABBE6F3}"/>
    <dgm:cxn modelId="{05762586-0383-4333-A305-4E0F579260D2}" type="presOf" srcId="{24E2A750-A25B-4634-A2F1-F44DEFB9DCCF}" destId="{8563C7A7-10D4-41EF-B4D0-EC0F5DA9C051}" srcOrd="0" destOrd="0" presId="urn:microsoft.com/office/officeart/2005/8/layout/orgChart1"/>
    <dgm:cxn modelId="{E2B05887-2C4A-4E72-AC51-8438C34CE2C1}" type="presOf" srcId="{BA15DC88-B838-4D5F-9BAB-AEC02AE52521}" destId="{EA71E183-84E8-48D4-A9A6-8F0910470349}" srcOrd="0" destOrd="0" presId="urn:microsoft.com/office/officeart/2005/8/layout/orgChart1"/>
    <dgm:cxn modelId="{0A0A9087-46A9-4CC3-AF46-ED7B1A6E51BB}" type="presOf" srcId="{9253C293-8A26-4831-8892-0E3BDAEC8E19}" destId="{C44CFD28-FFE5-438C-8F93-2EBE2F7C0269}" srcOrd="0" destOrd="0" presId="urn:microsoft.com/office/officeart/2005/8/layout/orgChart1"/>
    <dgm:cxn modelId="{C013DC88-F205-44B6-8426-F55468FB2110}" type="presOf" srcId="{90C11742-7AB7-4673-9EB2-8F639E1AB031}" destId="{18E34EE4-86C8-4825-8C89-7F8622C591A5}" srcOrd="0" destOrd="0" presId="urn:microsoft.com/office/officeart/2005/8/layout/orgChart1"/>
    <dgm:cxn modelId="{A8A97C89-7F46-4293-9AE9-F5C3EDA038B1}" type="presOf" srcId="{73F14857-60B0-4E0A-A5A6-05DD1561DBD7}" destId="{B2297A3C-7A3E-4EED-AC93-8288E10660BB}" srcOrd="1" destOrd="0" presId="urn:microsoft.com/office/officeart/2005/8/layout/orgChart1"/>
    <dgm:cxn modelId="{26563E8B-9DBC-4356-A280-581CAB674928}" type="presOf" srcId="{03DF699C-3176-485E-B584-5BC85EC703ED}" destId="{9EBC3719-E547-4EED-BC48-5ABB36AD76E8}" srcOrd="1" destOrd="0" presId="urn:microsoft.com/office/officeart/2005/8/layout/orgChart1"/>
    <dgm:cxn modelId="{0D30FB8B-DEA6-4A12-BF8C-A4A47B9A1077}" type="presOf" srcId="{85451313-C917-4F47-86D0-45E28E549CBF}" destId="{EEDFA72F-C267-464D-9685-936B0047B18D}" srcOrd="1" destOrd="0" presId="urn:microsoft.com/office/officeart/2005/8/layout/orgChart1"/>
    <dgm:cxn modelId="{EC19358C-EA86-4D68-AD14-1D1C494044AF}" type="presOf" srcId="{B3501234-EF80-4869-A279-C89BC86861D2}" destId="{04AE9728-3D57-4121-9006-9C7431474EE4}" srcOrd="0" destOrd="0" presId="urn:microsoft.com/office/officeart/2005/8/layout/orgChart1"/>
    <dgm:cxn modelId="{0480DC8C-E575-43E6-B43D-D8F34709951F}" type="presOf" srcId="{809B22AA-EB2B-4C4F-82C3-E979FD4CF357}" destId="{62F4258B-C5E7-4DDD-9EE3-406ED25B322B}" srcOrd="0" destOrd="0" presId="urn:microsoft.com/office/officeart/2005/8/layout/orgChart1"/>
    <dgm:cxn modelId="{E9FB388E-1EB1-43B8-8A7E-96EAF0AB4768}" type="presOf" srcId="{368C1CBB-3E33-47ED-9D57-F0B7BCA1FCAF}" destId="{D440159E-E985-4C77-AF65-E9414A6578AE}" srcOrd="0" destOrd="0" presId="urn:microsoft.com/office/officeart/2005/8/layout/orgChart1"/>
    <dgm:cxn modelId="{CE48D08E-6227-4122-88E2-DBC2A68CA731}" type="presOf" srcId="{BE31271E-A076-4ED9-AC21-79688A8463AF}" destId="{705E3CF3-AD29-44CF-8A21-A256A4236ECA}" srcOrd="0" destOrd="0" presId="urn:microsoft.com/office/officeart/2005/8/layout/orgChart1"/>
    <dgm:cxn modelId="{7A5AB48F-AE48-42B5-B800-96160C039D1B}" type="presOf" srcId="{86AF350A-A785-4BDD-9C13-1E90196942B4}" destId="{15F1B390-CAFA-4C33-8AA9-ED5F2603762F}" srcOrd="1" destOrd="0" presId="urn:microsoft.com/office/officeart/2005/8/layout/orgChart1"/>
    <dgm:cxn modelId="{5290E68F-D516-441A-8430-055885AEED08}" type="presOf" srcId="{E6A1700A-B079-47D8-9B65-891034C34C7F}" destId="{DB324A68-A2D8-442A-BDD3-FA66FBB7CE83}" srcOrd="1" destOrd="0" presId="urn:microsoft.com/office/officeart/2005/8/layout/orgChart1"/>
    <dgm:cxn modelId="{599D4590-85AD-418F-827D-C99E55A92524}" type="presOf" srcId="{D6F5CD79-D3E1-4B19-9C25-479267A00537}" destId="{C83F4A0E-1E92-4983-AFFC-CBBF607C3D31}" srcOrd="0" destOrd="0" presId="urn:microsoft.com/office/officeart/2005/8/layout/orgChart1"/>
    <dgm:cxn modelId="{95C68990-AC45-42D3-BDA8-41844D730C5F}" type="presOf" srcId="{EC6FE534-DC93-4BE9-B221-533498D9AED2}" destId="{736BB68E-8D5F-423E-8086-56AAA42B40BA}" srcOrd="1" destOrd="0" presId="urn:microsoft.com/office/officeart/2005/8/layout/orgChart1"/>
    <dgm:cxn modelId="{82F39691-1273-4B5C-978B-901744638864}" type="presOf" srcId="{E2EA6942-20E6-4D51-99FA-C77C5E746936}" destId="{27AB4ADB-A857-4F76-8685-F2A81693BA44}" srcOrd="0" destOrd="0" presId="urn:microsoft.com/office/officeart/2005/8/layout/orgChart1"/>
    <dgm:cxn modelId="{AE9F9094-E2A1-48A5-9B8C-245304BF5657}" srcId="{4D84D968-1444-4AA9-857D-6156565CA06D}" destId="{3E4366ED-56BD-4CD2-B25D-EC6A6CBD67C3}" srcOrd="2" destOrd="0" parTransId="{E3E1282F-88A6-4E37-8ADF-21463FF4DBF1}" sibTransId="{DED8C847-404A-4BED-9AAC-8E06AB6B5435}"/>
    <dgm:cxn modelId="{868F4F95-F1D3-464E-A37C-229D542F6829}" type="presOf" srcId="{0967B97A-9CE9-40F1-BF1A-2DFA48C2D7E5}" destId="{873223EA-7F68-4528-98BE-9B0AD4B9BA4A}" srcOrd="0" destOrd="0" presId="urn:microsoft.com/office/officeart/2005/8/layout/orgChart1"/>
    <dgm:cxn modelId="{AD5ACF95-7454-4B47-B411-012941C414D0}" type="presOf" srcId="{8AB7F64B-E4EA-46A3-93C5-530B1FAAB3A0}" destId="{AFD7BDD0-23CF-42B8-9B4A-480A76322345}" srcOrd="1" destOrd="0" presId="urn:microsoft.com/office/officeart/2005/8/layout/orgChart1"/>
    <dgm:cxn modelId="{0A003196-1E79-4929-A7E8-1285A7224592}" type="presOf" srcId="{1A2F6BDF-FA27-407A-815F-CCC26416743E}" destId="{18C7F633-FF25-4B4E-95EE-D064E36269C0}" srcOrd="0" destOrd="0" presId="urn:microsoft.com/office/officeart/2005/8/layout/orgChart1"/>
    <dgm:cxn modelId="{1BD83299-9EC1-49E0-BA83-610890AC5B5D}" type="presOf" srcId="{78FB916E-F97F-44B1-B3A4-DE90A19BAA02}" destId="{B2CFB48C-7997-4644-987C-7D4E545BF78C}" srcOrd="1" destOrd="0" presId="urn:microsoft.com/office/officeart/2005/8/layout/orgChart1"/>
    <dgm:cxn modelId="{479D1C9A-9AC9-4434-9943-DE8290A4F3EA}" type="presOf" srcId="{0BE60257-9C66-40C0-84CD-AFEBF2C7CB42}" destId="{7B1D38F7-1B50-40C5-B26B-5FC6B24706AA}" srcOrd="1" destOrd="0" presId="urn:microsoft.com/office/officeart/2005/8/layout/orgChart1"/>
    <dgm:cxn modelId="{76FEBD9A-1612-4E9D-904B-DFFCF314435F}" srcId="{D6F5CD79-D3E1-4B19-9C25-479267A00537}" destId="{0D1A6C0B-79D7-47A2-B0F4-33C072B0AAEA}" srcOrd="0" destOrd="0" parTransId="{0EE6ECD5-A3CE-456C-8DA8-E2FCAC0825C8}" sibTransId="{B631D57A-99A6-42FF-9591-EA7B3EC4C09C}"/>
    <dgm:cxn modelId="{8F7AF59A-A09C-4519-9E40-16E103BD2262}" srcId="{0102E4FE-20A8-44CB-9044-37DB2019EEF7}" destId="{809B22AA-EB2B-4C4F-82C3-E979FD4CF357}" srcOrd="1" destOrd="0" parTransId="{E2EA6942-20E6-4D51-99FA-C77C5E746936}" sibTransId="{A3E7A7D9-26B8-432D-9CFA-8BAF85BB66C1}"/>
    <dgm:cxn modelId="{F5334F9C-6831-4E61-83CB-30F83F3C8211}" type="presOf" srcId="{EC6FE534-DC93-4BE9-B221-533498D9AED2}" destId="{C0C66002-6539-4A5A-A569-82420CBEF5EF}" srcOrd="0" destOrd="0" presId="urn:microsoft.com/office/officeart/2005/8/layout/orgChart1"/>
    <dgm:cxn modelId="{60C1799C-88A4-4E28-90D1-104F5F4FFDC9}" type="presOf" srcId="{141B889D-94F1-45C1-B73E-13B1197CCCF8}" destId="{4EE2E31F-AE9E-4FC4-B938-DD1CA40DE03F}" srcOrd="1" destOrd="0" presId="urn:microsoft.com/office/officeart/2005/8/layout/orgChart1"/>
    <dgm:cxn modelId="{B5AEB09C-6DC6-441A-92DB-4858CDCA0D2A}" type="presOf" srcId="{8D244D8F-C792-40BC-A511-7DE39E45E194}" destId="{DE34633F-BCA4-4794-A52D-60753C50AA03}" srcOrd="1" destOrd="0" presId="urn:microsoft.com/office/officeart/2005/8/layout/orgChart1"/>
    <dgm:cxn modelId="{1672F29C-D791-4EE9-968D-11BA142AED95}" type="presOf" srcId="{C00698EA-AC61-4C5F-8776-C76E99D167F9}" destId="{4F7518DB-5A64-4C4B-AC5D-0356CD0CCE4D}" srcOrd="0" destOrd="0" presId="urn:microsoft.com/office/officeart/2005/8/layout/orgChart1"/>
    <dgm:cxn modelId="{708ABD9D-9C1B-46DB-ABBE-2D6C5709561F}" type="presOf" srcId="{51C79718-E650-4489-9A19-46CB6F3C5E64}" destId="{F5CC38DF-E659-4FDD-A0D2-126B51300B04}" srcOrd="0" destOrd="0" presId="urn:microsoft.com/office/officeart/2005/8/layout/orgChart1"/>
    <dgm:cxn modelId="{81FD159E-5A59-47E9-B060-7B6EB6770B16}" srcId="{03DF699C-3176-485E-B584-5BC85EC703ED}" destId="{905ED552-0ABB-46DE-A60F-9DB1B7EBD348}" srcOrd="2" destOrd="0" parTransId="{C0EE7375-36E6-4281-9237-5F5EEB6505C0}" sibTransId="{CB9B60C3-837E-4475-B99D-FCE33FAFF27C}"/>
    <dgm:cxn modelId="{4255359E-72F9-4596-9F50-15D32CB2103B}" type="presOf" srcId="{3BEC5FAA-E4C7-4310-8BF8-FD6D6CD14D5D}" destId="{69D67CA4-D28A-45E7-B564-60835C9B9944}" srcOrd="0" destOrd="0" presId="urn:microsoft.com/office/officeart/2005/8/layout/orgChart1"/>
    <dgm:cxn modelId="{8AAE519E-191B-4E10-BBA0-407916C29C7F}" type="presOf" srcId="{304499FC-178F-457B-9D5B-07C633CC1703}" destId="{274DB5B8-E521-41DA-9E98-689E1F5C07D7}" srcOrd="0" destOrd="0" presId="urn:microsoft.com/office/officeart/2005/8/layout/orgChart1"/>
    <dgm:cxn modelId="{89251FA0-9D60-4905-A111-D0387F7237DC}" type="presOf" srcId="{FA075ABC-5CA4-4216-8E88-E8C82245409F}" destId="{9781DE36-AF9D-43C5-91F5-226FB23BC5A0}" srcOrd="1" destOrd="0" presId="urn:microsoft.com/office/officeart/2005/8/layout/orgChart1"/>
    <dgm:cxn modelId="{6CF24EA2-97D5-4098-86F4-6E7111E1A4B5}" type="presOf" srcId="{C0EE7375-36E6-4281-9237-5F5EEB6505C0}" destId="{55A2925D-E86E-42A8-B7FF-94E0195E5073}" srcOrd="0" destOrd="0" presId="urn:microsoft.com/office/officeart/2005/8/layout/orgChart1"/>
    <dgm:cxn modelId="{3EA162A4-132D-4878-91E4-70CE79167425}" srcId="{4D29C077-1695-455C-9DAA-E15887E6F57B}" destId="{4EDFDD96-7D03-4644-B893-2DE9B7516A86}" srcOrd="0" destOrd="0" parTransId="{F488A61D-44A8-43AF-8D4D-9D3A28823A7B}" sibTransId="{DE838DFA-5D9A-4E00-863E-4F0DE9AEC1FD}"/>
    <dgm:cxn modelId="{F8ADBBA4-24C1-45B2-846F-B26ACB115253}" type="presOf" srcId="{23A96D7A-299B-4FA1-93D0-41E5DC2BDB0F}" destId="{B8F8DC89-4AA2-4A80-B574-C97377A626D3}" srcOrd="1" destOrd="0" presId="urn:microsoft.com/office/officeart/2005/8/layout/orgChart1"/>
    <dgm:cxn modelId="{C7E5E5A4-907D-4D67-BC0E-B38ACAF474A7}" type="presOf" srcId="{C45B11D6-E688-469D-B37A-64BDB4F13BD1}" destId="{AF44E3AC-B687-4347-9359-A5919C90BF24}" srcOrd="0" destOrd="0" presId="urn:microsoft.com/office/officeart/2005/8/layout/orgChart1"/>
    <dgm:cxn modelId="{E73D8FA6-A7C6-4CE0-ACAA-3E0D57791E59}" type="presOf" srcId="{73F14857-60B0-4E0A-A5A6-05DD1561DBD7}" destId="{08D5027A-98A2-41D9-A25B-D422A483B3D4}" srcOrd="0" destOrd="0" presId="urn:microsoft.com/office/officeart/2005/8/layout/orgChart1"/>
    <dgm:cxn modelId="{0B00B6A6-CBDC-40B4-B889-0FF48DF01957}" srcId="{4D84D968-1444-4AA9-857D-6156565CA06D}" destId="{368C1CBB-3E33-47ED-9D57-F0B7BCA1FCAF}" srcOrd="1" destOrd="0" parTransId="{1A2F6BDF-FA27-407A-815F-CCC26416743E}" sibTransId="{3C3D26ED-1D4F-46B4-80EC-2D477B98FC18}"/>
    <dgm:cxn modelId="{5360D5A6-280B-440D-9F3C-D2899F368FD9}" type="presOf" srcId="{88490267-DE7E-43ED-9BD4-B69E754A61AF}" destId="{E9747454-1A04-4415-9946-2C8D25D72AF6}" srcOrd="0" destOrd="0" presId="urn:microsoft.com/office/officeart/2005/8/layout/orgChart1"/>
    <dgm:cxn modelId="{852D6FA7-4870-483D-9C8D-90B1EB33CD7F}" type="presOf" srcId="{1E766082-A467-492E-B298-169535B5EB3A}" destId="{9A1E64F1-90FC-4F6A-9630-A28347507182}" srcOrd="0" destOrd="0" presId="urn:microsoft.com/office/officeart/2005/8/layout/orgChart1"/>
    <dgm:cxn modelId="{69D251A7-3422-4167-8618-7775D3760414}" srcId="{BE31271E-A076-4ED9-AC21-79688A8463AF}" destId="{F90F24E4-2334-448C-81F9-6BD5CF8505B6}" srcOrd="2" destOrd="0" parTransId="{A84ACBF0-1498-4B15-ADCF-B843AAA2EC73}" sibTransId="{759A5A34-C86E-46DD-BD1D-3DC3B59A3897}"/>
    <dgm:cxn modelId="{C1D942A8-40B2-4100-B480-D61A3156CE72}" type="presOf" srcId="{EC169E66-03F5-48A6-B577-578CD2F1BBCD}" destId="{FD88D524-6B57-4079-A2B6-9CAB4B9479AA}" srcOrd="0" destOrd="0" presId="urn:microsoft.com/office/officeart/2005/8/layout/orgChart1"/>
    <dgm:cxn modelId="{CDA357AB-3A66-434E-9D50-055118B6F0FB}" type="presOf" srcId="{38E2739B-73BB-4928-87AA-26706E9E2406}" destId="{EE02CA1F-09C8-4581-9726-5D987B155C40}" srcOrd="0" destOrd="0" presId="urn:microsoft.com/office/officeart/2005/8/layout/orgChart1"/>
    <dgm:cxn modelId="{0BDEF2AB-DE88-460E-8D07-D49C1A54B85E}" type="presOf" srcId="{0E0D5914-9733-4438-B53B-E54AED87BD25}" destId="{9F74C05D-795A-4A6D-AD9B-BCB516320ABF}" srcOrd="0" destOrd="0" presId="urn:microsoft.com/office/officeart/2005/8/layout/orgChart1"/>
    <dgm:cxn modelId="{FB86F9AC-43D6-42D6-B1C6-0AD450E936BD}" type="presOf" srcId="{3C430132-43C1-47EF-A156-1D4161537981}" destId="{BF23AE5C-3AF7-473A-AF77-17042B1E7748}" srcOrd="0" destOrd="0" presId="urn:microsoft.com/office/officeart/2005/8/layout/orgChart1"/>
    <dgm:cxn modelId="{13CEFDAC-122A-4440-8617-21BD37EA6ADB}" type="presOf" srcId="{6ED531EE-0BC7-4118-B43F-7D8D436633A8}" destId="{5E347A1A-EE32-4C05-A5F8-4CF2869BE9D7}" srcOrd="1" destOrd="0" presId="urn:microsoft.com/office/officeart/2005/8/layout/orgChart1"/>
    <dgm:cxn modelId="{C36B9DAD-856B-4FDC-B3BB-3104DF1903B7}" type="presOf" srcId="{E62468E0-1FF4-4D1D-A9CA-0D68F9B02BD3}" destId="{4798A7CE-D6D1-450A-97B1-DD4712401C81}" srcOrd="1" destOrd="0" presId="urn:microsoft.com/office/officeart/2005/8/layout/orgChart1"/>
    <dgm:cxn modelId="{5B2685AE-AC89-4B14-9D05-AADF526ACB3A}" type="presOf" srcId="{4D84D968-1444-4AA9-857D-6156565CA06D}" destId="{A0D9892B-5A22-4162-8B10-B681BCAC2335}" srcOrd="1" destOrd="0" presId="urn:microsoft.com/office/officeart/2005/8/layout/orgChart1"/>
    <dgm:cxn modelId="{633930AF-3D0C-41D1-9D7D-CE36CB354B8D}" srcId="{424E63FB-7A5E-47ED-BA8E-381C8BEA7B4D}" destId="{8AB7F64B-E4EA-46A3-93C5-530B1FAAB3A0}" srcOrd="1" destOrd="0" parTransId="{D39B8DD9-864C-4EB7-9F89-A2AD12438034}" sibTransId="{54EF72C2-E454-4C40-B61C-C5559BC6F1E5}"/>
    <dgm:cxn modelId="{77F413B0-BC84-4DDD-83D8-55E1D3759FC3}" type="presOf" srcId="{0995A2E3-0901-4DB1-B970-376B2E4006D1}" destId="{0E86C646-21FD-4A5A-B8EB-13EEC8D4DB3B}" srcOrd="0" destOrd="0" presId="urn:microsoft.com/office/officeart/2005/8/layout/orgChart1"/>
    <dgm:cxn modelId="{118389B1-5E3B-4D8B-8F0A-283BAF9F6A04}" type="presOf" srcId="{905ED552-0ABB-46DE-A60F-9DB1B7EBD348}" destId="{F4C31505-D6DF-47AA-9843-C7210EBB4F84}" srcOrd="0" destOrd="0" presId="urn:microsoft.com/office/officeart/2005/8/layout/orgChart1"/>
    <dgm:cxn modelId="{CC96D1B1-74F4-4387-8205-073D2FA54177}" type="presOf" srcId="{CF53B9B7-FAB3-48F2-A65F-2D9954BDE9C7}" destId="{7743E56D-4762-448A-9A91-6899766FF59C}" srcOrd="0" destOrd="0" presId="urn:microsoft.com/office/officeart/2005/8/layout/orgChart1"/>
    <dgm:cxn modelId="{EB7666B2-9172-4ECA-B786-AA8FF5113B06}" srcId="{D9DCBD92-CF2D-4FA3-9650-A94983E94475}" destId="{C2E9E08C-C520-4750-9A46-099873830BC9}" srcOrd="2" destOrd="0" parTransId="{304499FC-178F-457B-9D5B-07C633CC1703}" sibTransId="{E69A4F6D-B644-4F5C-905D-8356A91FFF6D}"/>
    <dgm:cxn modelId="{E4E8F6B4-8F00-4D6C-8C78-5C947ECE9DAC}" type="presOf" srcId="{F90F24E4-2334-448C-81F9-6BD5CF8505B6}" destId="{B3D4DF73-816E-4C40-B28B-58A80B7C46D8}" srcOrd="1" destOrd="0" presId="urn:microsoft.com/office/officeart/2005/8/layout/orgChart1"/>
    <dgm:cxn modelId="{BA27A8B5-959B-43D9-A4EC-00F6E9039FD3}" type="presOf" srcId="{6461F17E-7831-494C-9098-041A0F5DDE37}" destId="{CE1F9F8E-E8B5-48C9-AA6B-055FF8129427}" srcOrd="0" destOrd="0" presId="urn:microsoft.com/office/officeart/2005/8/layout/orgChart1"/>
    <dgm:cxn modelId="{A0E7CBB5-7CF0-42B5-B4E5-93BE50449420}" srcId="{D9DCBD92-CF2D-4FA3-9650-A94983E94475}" destId="{DBA8929B-46BA-404E-A3FA-7CF913B88C72}" srcOrd="1" destOrd="0" parTransId="{F26A6E32-5FBB-4CEF-BDB1-A0E805534581}" sibTransId="{79AC7646-F02B-4EB7-8D35-A654D4BDF6CA}"/>
    <dgm:cxn modelId="{A5FF51B6-43BF-476C-BCDA-EFFE99973564}" type="presOf" srcId="{FF33A1DC-33CA-4A96-A73E-D356FF7B6865}" destId="{9BCCBE2B-EE0E-4E62-84A7-131453F261FE}" srcOrd="0" destOrd="0" presId="urn:microsoft.com/office/officeart/2005/8/layout/orgChart1"/>
    <dgm:cxn modelId="{6ACBC4B6-4841-4FC0-A173-DCB8D1AE7F6F}" type="presOf" srcId="{4EDFDD96-7D03-4644-B893-2DE9B7516A86}" destId="{A0353E5E-7D45-48CA-B881-311DA07E6089}" srcOrd="1" destOrd="0" presId="urn:microsoft.com/office/officeart/2005/8/layout/orgChart1"/>
    <dgm:cxn modelId="{47A93AB8-B741-47A7-82D6-C05247CD1F1A}" type="presOf" srcId="{902A754E-4E4A-4847-B0A2-573B94308BBA}" destId="{50EBA4E4-6A87-41AF-AA0F-FF08390666B4}" srcOrd="0" destOrd="0" presId="urn:microsoft.com/office/officeart/2005/8/layout/orgChart1"/>
    <dgm:cxn modelId="{F4C496B8-A793-4167-BFEF-329B37C98BCF}" srcId="{C5F5B592-B7BB-47AA-9A5B-E0F4DC1378F7}" destId="{E1678971-1CE4-4063-A069-A2C3E245353E}" srcOrd="2" destOrd="0" parTransId="{C8736BC6-75C5-4FC4-BCAC-571B8AEC5E12}" sibTransId="{F071E797-B68E-4FA1-8520-1970D570F050}"/>
    <dgm:cxn modelId="{E133C6B8-C7F7-4ED4-A266-87BECBE197ED}" srcId="{4D84D968-1444-4AA9-857D-6156565CA06D}" destId="{3744F6C1-88E2-47A7-9163-48169ED23270}" srcOrd="0" destOrd="0" parTransId="{47A38D87-1F99-47B5-8B83-1A291E09C85B}" sibTransId="{36CF8350-8E57-42F2-A077-A6AE6AAD0B67}"/>
    <dgm:cxn modelId="{146D4EBA-1E7B-45D4-816B-83B80DFC9638}" type="presOf" srcId="{3AAD358E-6C2A-45F6-8AEA-D2444BC59F19}" destId="{B6D082AB-6FAB-4EAA-A2F9-1A63210DE847}" srcOrd="0" destOrd="0" presId="urn:microsoft.com/office/officeart/2005/8/layout/orgChart1"/>
    <dgm:cxn modelId="{376CB5BA-C6EE-4C39-9D45-A689A7953C09}" type="presOf" srcId="{BAEA72A8-8E27-4CB3-95FF-B81D0605EC3A}" destId="{4A876694-BF19-46DE-B452-875368411D68}" srcOrd="0" destOrd="0" presId="urn:microsoft.com/office/officeart/2005/8/layout/orgChart1"/>
    <dgm:cxn modelId="{83DCF0BA-1EEF-408F-8F11-D8962B77D36F}" type="presOf" srcId="{141B889D-94F1-45C1-B73E-13B1197CCCF8}" destId="{482DCAEA-9419-4B13-B1A6-ADB76B84C176}" srcOrd="0" destOrd="0" presId="urn:microsoft.com/office/officeart/2005/8/layout/orgChart1"/>
    <dgm:cxn modelId="{A28B41BB-DD03-42A7-B093-4475C7DCC7D8}" type="presOf" srcId="{1A5678EE-7A74-4A34-A4D6-D8A58BB9F46D}" destId="{FA8E88D1-9BA4-418E-9D6B-2F599D184515}" srcOrd="1" destOrd="0" presId="urn:microsoft.com/office/officeart/2005/8/layout/orgChart1"/>
    <dgm:cxn modelId="{66DD7ABB-7418-41FD-B466-A83E22782850}" type="presOf" srcId="{C550F39E-3BA4-4EAC-9784-E4F9E4C6F36F}" destId="{DCDC6238-9924-4CB4-8E8E-E4E6304A5BCB}" srcOrd="0" destOrd="0" presId="urn:microsoft.com/office/officeart/2005/8/layout/orgChart1"/>
    <dgm:cxn modelId="{A8FF89BC-D15C-44F3-A67F-96B16824950D}" srcId="{5901CCA6-EF9E-4F05-B532-AFA0A830E4D5}" destId="{0995A2E3-0901-4DB1-B970-376B2E4006D1}" srcOrd="2" destOrd="0" parTransId="{902A754E-4E4A-4847-B0A2-573B94308BBA}" sibTransId="{20A0EF64-0AD3-4993-8E6E-5758F9AF64A6}"/>
    <dgm:cxn modelId="{BD09A3BC-8583-4A3F-AFC5-04D73558493B}" type="presOf" srcId="{78FB916E-F97F-44B1-B3A4-DE90A19BAA02}" destId="{B2F4EA58-C736-4168-8B7E-208A9B8BD3E7}" srcOrd="0" destOrd="0" presId="urn:microsoft.com/office/officeart/2005/8/layout/orgChart1"/>
    <dgm:cxn modelId="{75F134BD-A551-4462-AAF8-D18D3CF8DF03}" type="presOf" srcId="{D78F8BA5-129B-4522-9EA8-77CF146B46A3}" destId="{D0506541-1F87-4764-AB55-95DABF99DBAB}" srcOrd="1" destOrd="0" presId="urn:microsoft.com/office/officeart/2005/8/layout/orgChart1"/>
    <dgm:cxn modelId="{2C8D48BD-32F8-4383-8ACD-7A314D33E13B}" type="presOf" srcId="{E2EC6A85-58E6-4744-B75D-3324C60D8EE8}" destId="{BD1712F7-DABF-48A5-A284-5D7C0E707A8B}" srcOrd="1" destOrd="0" presId="urn:microsoft.com/office/officeart/2005/8/layout/orgChart1"/>
    <dgm:cxn modelId="{A5F227BE-3924-481A-B2E9-0A93F735212B}" type="presOf" srcId="{50F4CB47-0DB9-4B1E-9C75-49682DAC2BF7}" destId="{833B4291-B94B-47C3-BE6D-A02B174BB6AF}" srcOrd="0" destOrd="0" presId="urn:microsoft.com/office/officeart/2005/8/layout/orgChart1"/>
    <dgm:cxn modelId="{21C18FBE-38F8-4F4C-A586-7435BBF5F356}" srcId="{0E0D5914-9733-4438-B53B-E54AED87BD25}" destId="{D5E38E4B-FED5-4A0A-B8AA-8728BED387A3}" srcOrd="1" destOrd="0" parTransId="{1182CA2F-4565-428E-AE54-DA4AC822DEC1}" sibTransId="{F08BBAFC-C54C-473A-A12D-0976EAD9F5B1}"/>
    <dgm:cxn modelId="{56F4D0BE-0ED8-4594-B6D7-DCDE4C6272FE}" srcId="{86AF350A-A785-4BDD-9C13-1E90196942B4}" destId="{95643014-9364-4ED7-A23C-11FF87634454}" srcOrd="0" destOrd="0" parTransId="{E0114C20-3A39-4242-9BD4-7E3A42C0079E}" sibTransId="{17FCF78A-6A89-4118-8006-45387E9866DB}"/>
    <dgm:cxn modelId="{558779BF-CD0F-4FC6-8C8E-7D7C49913183}" type="presOf" srcId="{4C48EC1D-D408-4EDF-A291-3EFF51AC875B}" destId="{DCF57CB3-4449-4E57-A164-5E94FDBA187C}" srcOrd="0" destOrd="0" presId="urn:microsoft.com/office/officeart/2005/8/layout/orgChart1"/>
    <dgm:cxn modelId="{4507D2BF-3C52-46DC-B5AF-11A970479E96}" type="presOf" srcId="{92338313-9670-40FB-8040-D372407E9060}" destId="{DADE0B48-34D6-4A90-B868-AC45CED4B994}" srcOrd="0" destOrd="0" presId="urn:microsoft.com/office/officeart/2005/8/layout/orgChart1"/>
    <dgm:cxn modelId="{8400ACC0-6FCB-4C28-B988-63134A3F6719}" type="presOf" srcId="{5901CCA6-EF9E-4F05-B532-AFA0A830E4D5}" destId="{E4453D79-3E76-4223-B5D6-9ABF8BF1FBD5}" srcOrd="1" destOrd="0" presId="urn:microsoft.com/office/officeart/2005/8/layout/orgChart1"/>
    <dgm:cxn modelId="{BBDA46C3-1894-4738-ACAF-6E0F72951EAD}" type="presOf" srcId="{03DF699C-3176-485E-B584-5BC85EC703ED}" destId="{ADEAA3FF-F634-47DE-8844-A10560CC1EC8}" srcOrd="0" destOrd="0" presId="urn:microsoft.com/office/officeart/2005/8/layout/orgChart1"/>
    <dgm:cxn modelId="{05224EC8-8F2D-49C9-8EC1-16639B495DC5}" srcId="{DBA8929B-46BA-404E-A3FA-7CF913B88C72}" destId="{EC169E66-03F5-48A6-B577-578CD2F1BBCD}" srcOrd="3" destOrd="0" parTransId="{4EFFC1A5-282F-4F34-864A-ACD659EC7C81}" sibTransId="{75C2EC2E-30BC-4A9D-923F-A1ADAE7F80FF}"/>
    <dgm:cxn modelId="{06172AC9-9ADD-491F-8067-535C09122887}" type="presOf" srcId="{B6389D6D-8AE5-4B3C-9BF6-CF7D2B974EDD}" destId="{2188183F-756F-4DB8-BD64-8C99E46DB1C1}" srcOrd="0" destOrd="0" presId="urn:microsoft.com/office/officeart/2005/8/layout/orgChart1"/>
    <dgm:cxn modelId="{376F60C9-FF2A-4E42-8D59-897E3D120B80}" type="presOf" srcId="{CA8B7563-E70A-42E2-9FC1-40504F35B43D}" destId="{A6AAD986-BDDA-4373-AB96-B725F9FD1472}" srcOrd="0" destOrd="0" presId="urn:microsoft.com/office/officeart/2005/8/layout/orgChart1"/>
    <dgm:cxn modelId="{168A94C9-2C08-470A-BE01-4890D7B5D06B}" type="presOf" srcId="{3F1B0426-4EA2-44D9-B786-B19B57D5CDEA}" destId="{5A3C222E-EA04-469D-B2A5-428B109ED3E0}" srcOrd="0" destOrd="0" presId="urn:microsoft.com/office/officeart/2005/8/layout/orgChart1"/>
    <dgm:cxn modelId="{EFB29ACA-E6B5-4A3A-8CF3-6AB34614F2A7}" type="presOf" srcId="{D5E38E4B-FED5-4A0A-B8AA-8728BED387A3}" destId="{9B9866DE-24EA-425D-AAF9-AA88956DF751}" srcOrd="0" destOrd="0" presId="urn:microsoft.com/office/officeart/2005/8/layout/orgChart1"/>
    <dgm:cxn modelId="{F7A145CB-AB41-45AF-8AD4-9A4F753B3ABE}" srcId="{14FC8420-D447-4CEA-A3B7-61E9B3749D8E}" destId="{BA15DC88-B838-4D5F-9BAB-AEC02AE52521}" srcOrd="0" destOrd="0" parTransId="{D1202378-9FC3-4AC3-BEDF-808E27AD479B}" sibTransId="{D7CB81A8-D79B-493F-A54C-A4C32D5B5C19}"/>
    <dgm:cxn modelId="{9B92ADCC-5DA7-4A0D-9720-B690B0F9E9C8}" type="presOf" srcId="{164BE56B-4369-439C-BDA1-AC866650347E}" destId="{50137482-7075-4F5C-85D8-3D55CECBD909}" srcOrd="0" destOrd="0" presId="urn:microsoft.com/office/officeart/2005/8/layout/orgChart1"/>
    <dgm:cxn modelId="{62BB28CD-DF02-4096-90BE-56E3B656686D}" type="presOf" srcId="{905ED552-0ABB-46DE-A60F-9DB1B7EBD348}" destId="{8CD98874-4C2F-48D6-ABC1-E3669CF6CC99}" srcOrd="1" destOrd="0" presId="urn:microsoft.com/office/officeart/2005/8/layout/orgChart1"/>
    <dgm:cxn modelId="{D4A38DCE-D46B-4C54-BCCC-C6C50C434080}" type="presOf" srcId="{FA73775F-96E3-4384-A1BB-0DDD667E453A}" destId="{04F050AC-1F6F-45B1-8722-44F110766813}"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FC4C93D0-49EC-4BF9-BB9A-8B47C9073CDC}" srcId="{8BB75C25-BB24-48E5-95A1-BDDD2AD67385}" destId="{4D84D968-1444-4AA9-857D-6156565CA06D}" srcOrd="1" destOrd="0" parTransId="{2F5FEFC0-AA7D-4353-A4DF-4F4559B2E5DE}" sibTransId="{CE5C4FD0-00FE-41CA-BE83-CE4FD0F7398D}"/>
    <dgm:cxn modelId="{522869D1-C9BB-4269-B1FF-3D5A240714A4}" type="presOf" srcId="{157E55D2-C3AB-4674-8931-4306188B0EC5}" destId="{406D6097-66B3-4200-96FC-A9C16D3CF51B}" srcOrd="0" destOrd="0" presId="urn:microsoft.com/office/officeart/2005/8/layout/orgChart1"/>
    <dgm:cxn modelId="{0C02F3D1-84C2-40B7-ADC3-9E8D3A0A246A}" type="presOf" srcId="{236AA128-08C9-44E9-A07E-E9063EC662C7}" destId="{0AD35396-15D9-47B2-9AD9-41BFAEE0D928}" srcOrd="0" destOrd="0" presId="urn:microsoft.com/office/officeart/2005/8/layout/orgChart1"/>
    <dgm:cxn modelId="{2D810DD2-4D61-45AB-80EA-578F6DE32D58}" type="presOf" srcId="{BC5B252E-CFEA-432E-A23C-820CF26C7CFC}" destId="{CE483592-D29F-41AA-97C5-9F0173288586}" srcOrd="1" destOrd="0" presId="urn:microsoft.com/office/officeart/2005/8/layout/orgChart1"/>
    <dgm:cxn modelId="{467455D2-BA16-4C54-9C3F-5AFC26454178}" type="presOf" srcId="{C5F5B592-B7BB-47AA-9A5B-E0F4DC1378F7}" destId="{99384343-58C1-49C5-BF73-F6B5C76CF037}" srcOrd="0" destOrd="0" presId="urn:microsoft.com/office/officeart/2005/8/layout/orgChart1"/>
    <dgm:cxn modelId="{82468ED2-2B59-4466-ACCA-D991D82B9563}" type="presOf" srcId="{2EA6147A-4097-4648-9D83-1C15EC3F6E1C}" destId="{83ED4CD0-FD22-4558-AB63-ECFD37A6F7FB}" srcOrd="0" destOrd="0" presId="urn:microsoft.com/office/officeart/2005/8/layout/orgChart1"/>
    <dgm:cxn modelId="{E32294D2-C5CE-4B30-997E-D9F11428A692}" srcId="{8D244D8F-C792-40BC-A511-7DE39E45E194}" destId="{73371C27-A7CB-4C2B-A967-EAD3B11B162C}" srcOrd="3" destOrd="0" parTransId="{E747D289-1F71-4811-AA7E-4D7C7746AD32}" sibTransId="{EFD8D3D7-81AE-42C8-A6BE-8AA0E87924A8}"/>
    <dgm:cxn modelId="{3E28F4D2-0151-4E2F-AC74-4EFBD8F45059}" type="presOf" srcId="{0D1A6C0B-79D7-47A2-B0F4-33C072B0AAEA}" destId="{E215F77F-8CA8-4A30-9C75-86BA56D3C21F}" srcOrd="0" destOrd="0" presId="urn:microsoft.com/office/officeart/2005/8/layout/orgChart1"/>
    <dgm:cxn modelId="{FB5493D3-ED93-446C-A2AB-76414013CCEE}" type="presOf" srcId="{1FA32465-79CA-43E4-925C-FD9E6E9DB5C8}" destId="{787D7592-C060-46FE-841C-899376B07F82}" srcOrd="0" destOrd="0" presId="urn:microsoft.com/office/officeart/2005/8/layout/orgChart1"/>
    <dgm:cxn modelId="{AEE8EAD3-BA6A-417D-B1F5-4EB2D80D6380}" type="presOf" srcId="{368C1CBB-3E33-47ED-9D57-F0B7BCA1FCAF}" destId="{EEDD93FC-0386-48CA-8279-C8F566D62129}" srcOrd="1" destOrd="0" presId="urn:microsoft.com/office/officeart/2005/8/layout/orgChart1"/>
    <dgm:cxn modelId="{C8D70DD5-D354-4E8F-8F36-FBA22A5D2A2C}" srcId="{14FC8420-D447-4CEA-A3B7-61E9B3749D8E}" destId="{85451313-C917-4F47-86D0-45E28E549CBF}" srcOrd="1" destOrd="0" parTransId="{900F9B5B-B201-41E8-9F84-B4A949821D1D}" sibTransId="{C35E62F3-BCD5-4083-A380-44B10F6F2EC2}"/>
    <dgm:cxn modelId="{3CA1DCD5-7C32-490A-A979-2534EE61316D}" type="presOf" srcId="{E1678971-1CE4-4063-A069-A2C3E245353E}" destId="{CF0448EA-89C9-4DA7-B80B-7A1BEE4FBFA2}" srcOrd="0" destOrd="0" presId="urn:microsoft.com/office/officeart/2005/8/layout/orgChart1"/>
    <dgm:cxn modelId="{1F4372D7-06E9-4FED-975F-2E50B186FDE8}" type="presOf" srcId="{C025D0B3-3453-4AB2-8C0D-9A93251A872D}" destId="{910ECDEE-9DC9-4C67-B44B-E82FE5130F1D}" srcOrd="0" destOrd="0" presId="urn:microsoft.com/office/officeart/2005/8/layout/orgChart1"/>
    <dgm:cxn modelId="{CC6187D7-C7EC-481A-8F3E-5621734EB7A8}" type="presOf" srcId="{025397C8-278A-4FB7-A986-A1B487EA1563}" destId="{DC606F7D-0512-4822-84C6-5204BC7E58AA}"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762B93D8-43BE-42B3-8DE5-31247C71202B}" srcId="{025397C8-278A-4FB7-A986-A1B487EA1563}" destId="{E2157045-4CE0-40CE-9C58-F4043DF91E33}" srcOrd="0" destOrd="0" parTransId="{F9922145-9B07-49CE-9FA6-B33C82D2B167}" sibTransId="{CA9D8683-4E32-4861-94E8-CF694F4D3BA3}"/>
    <dgm:cxn modelId="{F511BDD8-5FF9-44DB-8554-B9CEA892CCDE}" srcId="{B3F45023-E1E3-43C0-B67F-AD1E7AC51078}" destId="{0ACA9C09-8F23-45A6-9B79-124796FD3FA6}" srcOrd="1" destOrd="0" parTransId="{534403A8-78E2-443C-BCD5-995FD0C69E07}" sibTransId="{BEA1363A-F311-4299-912C-BC12317B325D}"/>
    <dgm:cxn modelId="{0251C4D9-523C-45CA-9883-E36842905429}" srcId="{0E0D5914-9733-4438-B53B-E54AED87BD25}" destId="{D9DCBD92-CF2D-4FA3-9650-A94983E94475}" srcOrd="0" destOrd="0" parTransId="{8069AF01-BDAC-4439-9E0A-EA0793CC3F91}" sibTransId="{62C8F385-660A-4B36-9BB8-6E3C7FF1DC57}"/>
    <dgm:cxn modelId="{616996DA-B6B2-4E6A-B707-2E790FDB661B}" type="presOf" srcId="{EBA54DFC-7FC3-4D85-9BDE-4CD347E65E6C}" destId="{A11ADAF4-52D0-4FE7-AB3A-790ECB2379B7}" srcOrd="0" destOrd="0" presId="urn:microsoft.com/office/officeart/2005/8/layout/orgChart1"/>
    <dgm:cxn modelId="{DD68C3DA-0954-4495-85C8-0E3A34D9A27E}" type="presOf" srcId="{3E4366ED-56BD-4CD2-B25D-EC6A6CBD67C3}" destId="{8CE87225-3583-408B-A41F-ED083B43C87C}" srcOrd="1" destOrd="0" presId="urn:microsoft.com/office/officeart/2005/8/layout/orgChart1"/>
    <dgm:cxn modelId="{0A56C6DB-31EB-4084-BBA3-788918B1E116}" srcId="{4D29C077-1695-455C-9DAA-E15887E6F57B}" destId="{025397C8-278A-4FB7-A986-A1B487EA1563}" srcOrd="3" destOrd="0" parTransId="{E9CCBF3B-F7D4-491B-83ED-166AFDD5DD30}" sibTransId="{03B4767C-E8A0-48F5-82FB-BC0CE0CB73C2}"/>
    <dgm:cxn modelId="{C76618DC-68A1-4E84-BC5A-258159F7D220}" type="presOf" srcId="{EF012DE2-96D0-481A-B482-7A801C17E020}" destId="{29A9CB9F-5E1D-4635-AA17-6020DB910BA3}" srcOrd="1" destOrd="0" presId="urn:microsoft.com/office/officeart/2005/8/layout/orgChart1"/>
    <dgm:cxn modelId="{2BBCB1DD-A956-4714-A2DC-93D8220012EE}" type="presOf" srcId="{5CD779A3-A461-48BE-8306-4AEC359C9657}" destId="{2DCCF489-911C-4862-9293-EA9511EE6422}" srcOrd="0" destOrd="0" presId="urn:microsoft.com/office/officeart/2005/8/layout/orgChart1"/>
    <dgm:cxn modelId="{44F9DADD-5704-4AD5-8673-09A1AFAA7F13}" type="presOf" srcId="{602FD50F-130C-4E3A-A16E-AF79EACA12AD}" destId="{EA1226AD-A4C8-4D20-BD8F-018378C4C7BD}" srcOrd="1" destOrd="0" presId="urn:microsoft.com/office/officeart/2005/8/layout/orgChart1"/>
    <dgm:cxn modelId="{D8BA61DF-64D4-4E18-BEF0-C2254624D055}" type="presOf" srcId="{F02C7DD0-38B5-42D3-B052-77C4D943365F}" destId="{436B62E2-FB7F-4E75-8F1D-09D806E30211}" srcOrd="0" destOrd="0" presId="urn:microsoft.com/office/officeart/2005/8/layout/orgChart1"/>
    <dgm:cxn modelId="{9ED827E1-AA0B-4747-94CB-082E9F03A51B}" type="presOf" srcId="{424E63FB-7A5E-47ED-BA8E-381C8BEA7B4D}" destId="{8B66C7DD-A74C-42D6-9053-6474A7B6F3F7}" srcOrd="0" destOrd="0" presId="urn:microsoft.com/office/officeart/2005/8/layout/orgChart1"/>
    <dgm:cxn modelId="{A62329E1-05B8-42A9-87F6-64F08B1DB4A4}" type="presOf" srcId="{85451313-C917-4F47-86D0-45E28E549CBF}" destId="{9604BD11-597B-45A2-8DAF-0E2330BF583C}" srcOrd="0" destOrd="0" presId="urn:microsoft.com/office/officeart/2005/8/layout/orgChart1"/>
    <dgm:cxn modelId="{FAE7A5E1-D9DE-47F1-93D8-F83CC03CD5C5}" type="presOf" srcId="{E0114C20-3A39-4242-9BD4-7E3A42C0079E}" destId="{E4432B7A-B481-44AE-9275-C01945717827}" srcOrd="0" destOrd="0" presId="urn:microsoft.com/office/officeart/2005/8/layout/orgChart1"/>
    <dgm:cxn modelId="{FFF18AE2-C5E7-48F1-9BA2-982C87348D94}" type="presOf" srcId="{E2157045-4CE0-40CE-9C58-F4043DF91E33}" destId="{6C7766F8-3CA4-4B55-A2B1-A9A57BDBAE31}" srcOrd="0" destOrd="0" presId="urn:microsoft.com/office/officeart/2005/8/layout/orgChart1"/>
    <dgm:cxn modelId="{EA7917E3-1DAF-4E11-B249-7F068365D9E4}" type="presOf" srcId="{3E6F3F79-ED3B-46F1-959B-8150A5EAAD1A}" destId="{7A95AA17-EB91-472F-BD43-D8E331A52BA6}" srcOrd="1" destOrd="0" presId="urn:microsoft.com/office/officeart/2005/8/layout/orgChart1"/>
    <dgm:cxn modelId="{A83F3FE3-022B-4771-9B49-DFDA44558DB4}" type="presOf" srcId="{3E6F3F79-ED3B-46F1-959B-8150A5EAAD1A}" destId="{9D869396-0DB3-4E56-B5C3-B8ECD17AE0CF}"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849E77E3-9BFF-4E0D-89AB-AE850D736CF0}" type="presOf" srcId="{83D46465-EBBF-4F96-A727-54A60F3A5461}" destId="{974B0D7E-7957-487C-9B92-0E69086768E0}" srcOrd="0" destOrd="0" presId="urn:microsoft.com/office/officeart/2005/8/layout/orgChart1"/>
    <dgm:cxn modelId="{A7B7AAE3-0549-47C6-BE65-738EFF26AA8C}" type="presOf" srcId="{EC92CB9E-5DFE-4287-A9E0-4954C06F656B}" destId="{78E0AD19-266C-436B-A2CA-461A101CA1F0}" srcOrd="0" destOrd="0" presId="urn:microsoft.com/office/officeart/2005/8/layout/orgChart1"/>
    <dgm:cxn modelId="{1A5C29E5-0B3D-496A-BA37-3EE497555743}" srcId="{905ED552-0ABB-46DE-A60F-9DB1B7EBD348}" destId="{FA075ABC-5CA4-4216-8E88-E8C82245409F}" srcOrd="0" destOrd="0" parTransId="{164BE56B-4369-439C-BDA1-AC866650347E}" sibTransId="{EA0AF616-A340-440B-B802-02F18855477B}"/>
    <dgm:cxn modelId="{52D76AE5-949E-4C13-A4CA-99F53CE5C37D}" type="presOf" srcId="{A84ACBF0-1498-4B15-ADCF-B843AAA2EC73}" destId="{FBBDFE6B-AD7D-4798-860C-DB8419454856}" srcOrd="0" destOrd="0" presId="urn:microsoft.com/office/officeart/2005/8/layout/orgChart1"/>
    <dgm:cxn modelId="{F1E5D1E5-1268-475D-944D-33E806414ACD}" srcId="{4EDFDD96-7D03-4644-B893-2DE9B7516A86}" destId="{69233474-9CCA-431F-ADB6-8A9AC33B9697}" srcOrd="1" destOrd="0" parTransId="{622DEC80-7D3B-489F-A688-386A3BD66E46}" sibTransId="{FEF84970-9F64-4C23-B93E-C7AB8DAB57E9}"/>
    <dgm:cxn modelId="{C2D02AE6-A251-4530-9C51-0476C5EF191B}" type="presOf" srcId="{1E24733A-326F-47E5-A424-6C2AAFD45BB8}" destId="{A2B2F150-3A49-411F-B5D3-AE477FF6EDA9}" srcOrd="0" destOrd="0" presId="urn:microsoft.com/office/officeart/2005/8/layout/orgChart1"/>
    <dgm:cxn modelId="{324C46E6-9A7B-4B07-97E6-792121FA9CB5}" type="presOf" srcId="{3D8434B0-DEC5-4689-B419-C2351767EFE8}" destId="{64746DDA-9BA4-4D4A-9F19-3F81A809CA82}" srcOrd="0" destOrd="0" presId="urn:microsoft.com/office/officeart/2005/8/layout/orgChart1"/>
    <dgm:cxn modelId="{6C3693E6-7571-4220-90DB-A9917C3DD2FE}" type="presOf" srcId="{939AE253-A7E2-4EBA-B997-5913C2301F5A}" destId="{E3693A93-0BFA-42AA-8323-A669AE1BE27D}" srcOrd="1" destOrd="0" presId="urn:microsoft.com/office/officeart/2005/8/layout/orgChart1"/>
    <dgm:cxn modelId="{00CF2AE7-823D-4B57-ABBC-200052B4B63E}" type="presOf" srcId="{D010ED04-6422-41B1-9B13-F8A5DEAE4019}" destId="{2C08C6B6-C420-4D90-AAA9-D796119CAD47}" srcOrd="0" destOrd="0" presId="urn:microsoft.com/office/officeart/2005/8/layout/orgChart1"/>
    <dgm:cxn modelId="{6D5A81E7-B2D7-4BF0-9AAC-18F87F600CEF}" type="presOf" srcId="{C5CC5A86-BAF4-4043-A05F-3690D26C1FF0}" destId="{3BC04BD4-22C7-4778-864E-AA91407FC17F}" srcOrd="1" destOrd="0" presId="urn:microsoft.com/office/officeart/2005/8/layout/orgChart1"/>
    <dgm:cxn modelId="{03A0BAE7-579D-4E46-A80D-29116A14ABF4}" type="presOf" srcId="{9BA5D052-04F8-4177-9923-A4FEA4524647}" destId="{FCBBA2A9-5C6A-41BE-97FE-E1F3CF9D436A}" srcOrd="0" destOrd="0" presId="urn:microsoft.com/office/officeart/2005/8/layout/orgChart1"/>
    <dgm:cxn modelId="{C740C0E7-4FDB-4A3D-929C-49D5628D530C}" type="presOf" srcId="{D6922E7D-1806-4E3F-8FA5-876C5E53C8A8}" destId="{034398FC-8D76-471C-995A-6E7D2346047A}" srcOrd="0" destOrd="0" presId="urn:microsoft.com/office/officeart/2005/8/layout/orgChart1"/>
    <dgm:cxn modelId="{DB1D00E8-CDD9-494C-9C3E-17C63D2F7EDB}" srcId="{C5F5B592-B7BB-47AA-9A5B-E0F4DC1378F7}" destId="{EF012DE2-96D0-481A-B482-7A801C17E020}" srcOrd="1" destOrd="0" parTransId="{F244B438-471F-46F3-AD68-B67A481F07F8}" sibTransId="{D6A80CFE-2F4E-4920-B2AE-B529E8036194}"/>
    <dgm:cxn modelId="{D6E471E9-D3F5-4C63-9D80-9ED720B317F3}" type="presOf" srcId="{C8736BC6-75C5-4FC4-BCAC-571B8AEC5E12}" destId="{57A5E5F3-5A1F-4B65-BCE3-96554E47F66C}" srcOrd="0" destOrd="0" presId="urn:microsoft.com/office/officeart/2005/8/layout/orgChart1"/>
    <dgm:cxn modelId="{39B1F2E9-9A57-4629-93BD-2F701CC8E433}" type="presOf" srcId="{534403A8-78E2-443C-BCD5-995FD0C69E07}" destId="{26C03E25-FF64-4F0D-8C01-1A1D89FC99A1}" srcOrd="0" destOrd="0" presId="urn:microsoft.com/office/officeart/2005/8/layout/orgChart1"/>
    <dgm:cxn modelId="{B9E802EA-5F03-4227-A86A-35EE6842E177}" type="presOf" srcId="{B0D67059-EF7D-43CE-8506-8E9B5868DB0C}" destId="{A244A32C-15CC-4029-9411-6D009D2F8BA7}" srcOrd="1" destOrd="0" presId="urn:microsoft.com/office/officeart/2005/8/layout/orgChart1"/>
    <dgm:cxn modelId="{509083EB-B758-402B-AFE5-31CE47698037}" type="presOf" srcId="{474A4018-4DD1-417F-A91F-005BA3B38AD9}" destId="{FBDC1316-480B-4FC9-9E0C-11D55B35DB3D}" srcOrd="1" destOrd="0" presId="urn:microsoft.com/office/officeart/2005/8/layout/orgChart1"/>
    <dgm:cxn modelId="{4B48C5EC-0550-46D9-8EAD-D0CF2E4C53CD}" type="presOf" srcId="{025397C8-278A-4FB7-A986-A1B487EA1563}" destId="{7F43DBEE-B60F-4C19-A3B0-BF5701214A5E}" srcOrd="1" destOrd="0" presId="urn:microsoft.com/office/officeart/2005/8/layout/orgChart1"/>
    <dgm:cxn modelId="{7EFC68EE-11DE-4496-B438-9E3FB82E3E49}" type="presOf" srcId="{0995A2E3-0901-4DB1-B970-376B2E4006D1}" destId="{AD8F9791-EE12-41A5-AB0C-AFE65584D927}" srcOrd="1" destOrd="0" presId="urn:microsoft.com/office/officeart/2005/8/layout/orgChart1"/>
    <dgm:cxn modelId="{2E3D6EEE-AFAB-4C6C-AED0-140B23D3BCFE}" srcId="{C2E9E08C-C520-4750-9A46-099873830BC9}" destId="{0967B97A-9CE9-40F1-BF1A-2DFA48C2D7E5}" srcOrd="1" destOrd="0" parTransId="{157E55D2-C3AB-4674-8931-4306188B0EC5}" sibTransId="{40ABED45-75DD-4A3A-B80A-5319BF47DA16}"/>
    <dgm:cxn modelId="{97F550EE-8CD0-4505-AE35-F24618E1E974}" type="presOf" srcId="{4D29C077-1695-455C-9DAA-E15887E6F57B}" destId="{6082EBD5-5DD1-46CB-B838-582F04F3CF74}" srcOrd="0" destOrd="0" presId="urn:microsoft.com/office/officeart/2005/8/layout/orgChart1"/>
    <dgm:cxn modelId="{9BED78EE-3125-42B5-919A-E6981982D396}" srcId="{BE31271E-A076-4ED9-AC21-79688A8463AF}" destId="{C8F46018-B988-46AE-BE3D-A99F5B406FD6}" srcOrd="0" destOrd="0" parTransId="{0A1FA39F-1101-4800-8C61-3AD9D90E4CAE}" sibTransId="{90B0C7DD-B992-411E-9116-3C41487FD515}"/>
    <dgm:cxn modelId="{351E8FF0-37AF-445F-A803-1160E0F6724A}" type="presOf" srcId="{D433E747-1E2C-41A0-B616-42B31870972F}" destId="{E005C577-C34E-4108-9C75-E06049D73B11}" srcOrd="0" destOrd="0" presId="urn:microsoft.com/office/officeart/2005/8/layout/orgChart1"/>
    <dgm:cxn modelId="{F32E2EF1-4ECB-4FBF-B778-D2741F81AF71}" type="presOf" srcId="{6ED531EE-0BC7-4118-B43F-7D8D436633A8}" destId="{656BF3EA-28AD-413D-AF2E-2C0FEA905081}" srcOrd="0" destOrd="0" presId="urn:microsoft.com/office/officeart/2005/8/layout/orgChart1"/>
    <dgm:cxn modelId="{8DC95EF1-851E-45EC-8F31-57AE55827EF1}" type="presOf" srcId="{D5E38E4B-FED5-4A0A-B8AA-8728BED387A3}" destId="{079F8876-CFDE-4455-9649-464E228FB647}" srcOrd="1" destOrd="0" presId="urn:microsoft.com/office/officeart/2005/8/layout/orgChart1"/>
    <dgm:cxn modelId="{97B089F1-C839-4268-AC3B-34A54C76B44B}" type="presOf" srcId="{1E766082-A467-492E-B298-169535B5EB3A}" destId="{225E9645-CE22-4325-A6D5-2030D72D47AB}" srcOrd="1" destOrd="0" presId="urn:microsoft.com/office/officeart/2005/8/layout/orgChart1"/>
    <dgm:cxn modelId="{92F2DEF2-629B-4230-8138-3DEF5A285113}" srcId="{03DF699C-3176-485E-B584-5BC85EC703ED}" destId="{424E63FB-7A5E-47ED-BA8E-381C8BEA7B4D}" srcOrd="0" destOrd="0" parTransId="{EBA54DFC-7FC3-4D85-9BDE-4CD347E65E6C}" sibTransId="{2D9C3D49-28A1-4E2A-8676-8FA2D87A3E83}"/>
    <dgm:cxn modelId="{CCC468F3-6C67-4E0A-92C5-F30D40507059}" type="presOf" srcId="{1182CA2F-4565-428E-AE54-DA4AC822DEC1}" destId="{FA56C4BD-6043-4B54-910E-E8237DD65AAE}" srcOrd="0" destOrd="0" presId="urn:microsoft.com/office/officeart/2005/8/layout/orgChart1"/>
    <dgm:cxn modelId="{A3C331F4-853D-413C-B991-1A773B987969}" type="presOf" srcId="{C5CC5A86-BAF4-4043-A05F-3690D26C1FF0}" destId="{25C26CDE-E9C1-45BC-A0A7-BEEA4DD15101}" srcOrd="0" destOrd="0" presId="urn:microsoft.com/office/officeart/2005/8/layout/orgChart1"/>
    <dgm:cxn modelId="{FE8D82F4-EC2E-4B25-896E-A6EFC76B2206}" srcId="{5901CCA6-EF9E-4F05-B532-AFA0A830E4D5}" destId="{EC6FE534-DC93-4BE9-B221-533498D9AED2}" srcOrd="1" destOrd="0" parTransId="{E1527C33-CFAA-4D8C-96C4-EE6231657CF0}" sibTransId="{6D81CC16-08CD-4BC5-BB25-D3C60D9BB3C1}"/>
    <dgm:cxn modelId="{61F70EF5-8B26-4EAB-A233-D1E1437AA6B9}" type="presOf" srcId="{E1678971-1CE4-4063-A069-A2C3E245353E}" destId="{3C13408F-4180-4D98-93F3-8D7CE5DD93FD}" srcOrd="1" destOrd="0" presId="urn:microsoft.com/office/officeart/2005/8/layout/orgChart1"/>
    <dgm:cxn modelId="{5F4884F5-ADEB-4DB8-96D2-7CF8C1CB447F}" type="presOf" srcId="{E747D289-1F71-4811-AA7E-4D7C7746AD32}" destId="{C4CADB5A-28C5-4190-86F8-BCF95635D5F2}" srcOrd="0" destOrd="0" presId="urn:microsoft.com/office/officeart/2005/8/layout/orgChart1"/>
    <dgm:cxn modelId="{8605E5F5-880A-40FD-9814-92280877C8B2}" type="presOf" srcId="{884057CA-0B89-411E-8EB7-D1A853F68475}" destId="{E2B97565-E678-48B0-8551-E3044FD845C5}" srcOrd="0" destOrd="0" presId="urn:microsoft.com/office/officeart/2005/8/layout/orgChart1"/>
    <dgm:cxn modelId="{EEC703F6-FAF7-4A82-B22E-9D388201FA97}" type="presOf" srcId="{E6A1700A-B079-47D8-9B65-891034C34C7F}" destId="{E94B6404-BBAB-4537-B122-22EDBB8BA2BD}" srcOrd="0" destOrd="0" presId="urn:microsoft.com/office/officeart/2005/8/layout/orgChart1"/>
    <dgm:cxn modelId="{E0A50EF6-42E8-4A80-B1D5-3426ABB5D310}" srcId="{97F38E1B-8B0A-4C1C-BB0E-8DC2824BBDEE}" destId="{E6A1700A-B079-47D8-9B65-891034C34C7F}" srcOrd="1" destOrd="0" parTransId="{BAEA72A8-8E27-4CB3-95FF-B81D0605EC3A}" sibTransId="{DB2D9756-9149-4493-AC7D-2FDB3E11C55E}"/>
    <dgm:cxn modelId="{B98E00F7-0FBF-4A93-9F21-ABC4E30378D3}" type="presOf" srcId="{971055BB-A4A3-40DF-B506-54605DDFB45E}" destId="{DF49C9AB-B8F0-4060-A5B9-6FA0BFF1534C}" srcOrd="0" destOrd="0" presId="urn:microsoft.com/office/officeart/2005/8/layout/orgChart1"/>
    <dgm:cxn modelId="{00B186F8-D83C-4661-A2F4-43A35250A696}" type="presOf" srcId="{AEE5868F-C0DE-4C6A-A255-A6B16719D8D2}" destId="{61334895-6D96-448D-BF7A-30B9B66AC9D3}" srcOrd="0" destOrd="0" presId="urn:microsoft.com/office/officeart/2005/8/layout/orgChart1"/>
    <dgm:cxn modelId="{5B6CFCF8-25A2-4BDC-9211-21E220344ED1}" srcId="{B3F45023-E1E3-43C0-B67F-AD1E7AC51078}" destId="{971055BB-A4A3-40DF-B506-54605DDFB45E}" srcOrd="0" destOrd="0" parTransId="{C550F39E-3BA4-4EAC-9784-E4F9E4C6F36F}" sibTransId="{5A6147EE-A1A6-4614-9DEB-0D9C46F37CEE}"/>
    <dgm:cxn modelId="{7B6C3EF9-4475-4D38-B3D0-0F18078FA7B3}" type="presOf" srcId="{E5E9916D-2D7F-4C7A-A808-9D88F35BEC5A}" destId="{37BC9415-6238-4077-808B-B5AF5E0C13B3}" srcOrd="1" destOrd="0" presId="urn:microsoft.com/office/officeart/2005/8/layout/orgChart1"/>
    <dgm:cxn modelId="{130453F9-9DF8-47BB-A8B3-D16FD9A035FF}" type="presOf" srcId="{BA15DC88-B838-4D5F-9BAB-AEC02AE52521}" destId="{95AF17A8-D840-4738-90E0-1D77B020D50F}" srcOrd="1" destOrd="0" presId="urn:microsoft.com/office/officeart/2005/8/layout/orgChart1"/>
    <dgm:cxn modelId="{2634C9F9-5AC6-4590-BAA9-4B2C43AB2576}" srcId="{DBA8929B-46BA-404E-A3FA-7CF913B88C72}" destId="{0BE60257-9C66-40C0-84CD-AFEBF2C7CB42}" srcOrd="0" destOrd="0" parTransId="{A0B83806-C4D6-4BA9-80A3-2DDA75DFD0F0}" sibTransId="{2A0E0166-FFA7-407A-9130-91794DAB2F54}"/>
    <dgm:cxn modelId="{191F10FA-4097-4A8A-8DB6-056F2EA28B00}" type="presOf" srcId="{D1202378-9FC3-4AC3-BEDF-808E27AD479B}" destId="{476FD194-C2DB-4BE5-BCC9-87BA20A144EC}" srcOrd="0" destOrd="0" presId="urn:microsoft.com/office/officeart/2005/8/layout/orgChart1"/>
    <dgm:cxn modelId="{E89592FB-C701-4E1D-88C5-0CEC01B14D41}" type="presOf" srcId="{CB1CFF7C-42F1-4A09-8B31-0773BB970F24}" destId="{29F56295-D546-4C31-91CD-AD5695AA4980}" srcOrd="0" destOrd="0" presId="urn:microsoft.com/office/officeart/2005/8/layout/orgChart1"/>
    <dgm:cxn modelId="{ECD3FFFB-961D-4AEA-957E-45E5AE1A5DB8}" type="presOf" srcId="{04DC9C24-5C23-4AB5-9DB9-94BB85E98A7C}" destId="{41A55E30-68D7-429F-9163-C763A5F81133}" srcOrd="1" destOrd="0" presId="urn:microsoft.com/office/officeart/2005/8/layout/orgChart1"/>
    <dgm:cxn modelId="{DEEB70FD-EAA0-4B18-8A4E-C0071D7EC8DF}" type="presOf" srcId="{D78F8BA5-129B-4522-9EA8-77CF146B46A3}" destId="{599FA050-92D0-47AA-B5EB-98254295AF14}" srcOrd="0" destOrd="0" presId="urn:microsoft.com/office/officeart/2005/8/layout/orgChart1"/>
    <dgm:cxn modelId="{90065BFE-D1B6-40C4-AE8E-F50717A2BB56}" srcId="{C2E9E08C-C520-4750-9A46-099873830BC9}" destId="{474A4018-4DD1-417F-A91F-005BA3B38AD9}" srcOrd="2" destOrd="0" parTransId="{CA8B7563-E70A-42E2-9FC1-40504F35B43D}" sibTransId="{93CF6FA9-30DC-476E-B309-279ACA523ABD}"/>
    <dgm:cxn modelId="{A458D9FF-02BE-46BB-A088-C5A5D4DCC19A}" srcId="{4D29C077-1695-455C-9DAA-E15887E6F57B}" destId="{8BB75C25-BB24-48E5-95A1-BDDD2AD67385}" srcOrd="4" destOrd="0" parTransId="{3F1B0426-4EA2-44D9-B786-B19B57D5CDEA}" sibTransId="{287D1434-478B-40C7-839D-02EB6EAF6F1B}"/>
    <dgm:cxn modelId="{A69A58A0-F850-443F-B023-C4164AA75395}" type="presParOf" srcId="{6DE94ADC-319E-4C5E-823C-F2CBE9684D16}" destId="{6CE5141C-EEF8-4D42-8486-2C46065F6CDF}" srcOrd="0" destOrd="0" presId="urn:microsoft.com/office/officeart/2005/8/layout/orgChart1"/>
    <dgm:cxn modelId="{D73CBD14-34D0-4785-92C4-74D67EA53F15}" type="presParOf" srcId="{6CE5141C-EEF8-4D42-8486-2C46065F6CDF}" destId="{4ABA9124-2E52-4303-9736-B86491C91DB4}" srcOrd="0" destOrd="0" presId="urn:microsoft.com/office/officeart/2005/8/layout/orgChart1"/>
    <dgm:cxn modelId="{FA803CF5-B5CC-42AE-AE22-2858FEB798BE}" type="presParOf" srcId="{4ABA9124-2E52-4303-9736-B86491C91DB4}" destId="{C400F1F9-7EB9-41D7-BB05-46DCA840A9E4}" srcOrd="0" destOrd="0" presId="urn:microsoft.com/office/officeart/2005/8/layout/orgChart1"/>
    <dgm:cxn modelId="{BDD8EA36-5852-433D-88A8-ABCF5486912C}" type="presParOf" srcId="{4ABA9124-2E52-4303-9736-B86491C91DB4}" destId="{3ADA15F7-DDC9-40CC-B66D-55B3D42160C2}" srcOrd="1" destOrd="0" presId="urn:microsoft.com/office/officeart/2005/8/layout/orgChart1"/>
    <dgm:cxn modelId="{26AE3EE3-8EB4-40F4-BF0C-68D8FCE5DE63}" type="presParOf" srcId="{6CE5141C-EEF8-4D42-8486-2C46065F6CDF}" destId="{151DAF7B-D43A-4640-84C7-284BA1860D25}" srcOrd="1" destOrd="0" presId="urn:microsoft.com/office/officeart/2005/8/layout/orgChart1"/>
    <dgm:cxn modelId="{5D434135-CE84-4564-96E2-9B45153B5E05}" type="presParOf" srcId="{151DAF7B-D43A-4640-84C7-284BA1860D25}" destId="{034398FC-8D76-471C-995A-6E7D2346047A}" srcOrd="0" destOrd="0" presId="urn:microsoft.com/office/officeart/2005/8/layout/orgChart1"/>
    <dgm:cxn modelId="{A89171C5-3771-45D9-9F9F-745CACDC0775}" type="presParOf" srcId="{151DAF7B-D43A-4640-84C7-284BA1860D25}" destId="{395EB07B-D756-48B9-8E6B-0ABCAA358A8B}" srcOrd="1" destOrd="0" presId="urn:microsoft.com/office/officeart/2005/8/layout/orgChart1"/>
    <dgm:cxn modelId="{08061A01-4178-483F-B02F-905C7F9323D8}" type="presParOf" srcId="{395EB07B-D756-48B9-8E6B-0ABCAA358A8B}" destId="{2E93B589-2A20-44F7-9ABB-E17A489F015F}" srcOrd="0" destOrd="0" presId="urn:microsoft.com/office/officeart/2005/8/layout/orgChart1"/>
    <dgm:cxn modelId="{C555F0B5-49AE-4B66-8382-5D9ABB4B7DEE}" type="presParOf" srcId="{2E93B589-2A20-44F7-9ABB-E17A489F015F}" destId="{870B33F5-4B7C-42CB-A41E-B6450C2B1589}" srcOrd="0" destOrd="0" presId="urn:microsoft.com/office/officeart/2005/8/layout/orgChart1"/>
    <dgm:cxn modelId="{567C8886-7FB6-4B58-9ABB-4F62AE352352}" type="presParOf" srcId="{2E93B589-2A20-44F7-9ABB-E17A489F015F}" destId="{DE34633F-BCA4-4794-A52D-60753C50AA03}" srcOrd="1" destOrd="0" presId="urn:microsoft.com/office/officeart/2005/8/layout/orgChart1"/>
    <dgm:cxn modelId="{B35F8373-78DC-43CB-AC37-1C0C7E3BDBE1}" type="presParOf" srcId="{395EB07B-D756-48B9-8E6B-0ABCAA358A8B}" destId="{F3F62313-21E2-4F00-AC41-E701E280D38B}" srcOrd="1" destOrd="0" presId="urn:microsoft.com/office/officeart/2005/8/layout/orgChart1"/>
    <dgm:cxn modelId="{9004EA15-7192-46B2-8946-4DE9ABF4EBA5}" type="presParOf" srcId="{F3F62313-21E2-4F00-AC41-E701E280D38B}" destId="{1C8E36A6-0B49-41D1-8A97-D670B1ADDBFB}" srcOrd="0" destOrd="0" presId="urn:microsoft.com/office/officeart/2005/8/layout/orgChart1"/>
    <dgm:cxn modelId="{5D1938F9-65B1-4613-B63F-3465462135DC}" type="presParOf" srcId="{F3F62313-21E2-4F00-AC41-E701E280D38B}" destId="{BE1DB509-9E0E-45BD-878E-89370FC0D1CF}" srcOrd="1" destOrd="0" presId="urn:microsoft.com/office/officeart/2005/8/layout/orgChart1"/>
    <dgm:cxn modelId="{F5C257AA-DC76-474A-ACC8-ADB3FDC44EED}" type="presParOf" srcId="{BE1DB509-9E0E-45BD-878E-89370FC0D1CF}" destId="{AB217FD7-8561-4E63-B8C7-00623212D7F1}" srcOrd="0" destOrd="0" presId="urn:microsoft.com/office/officeart/2005/8/layout/orgChart1"/>
    <dgm:cxn modelId="{C3B3BA71-9B1F-4DD0-A111-E9E483C9764C}" type="presParOf" srcId="{AB217FD7-8561-4E63-B8C7-00623212D7F1}" destId="{2188183F-756F-4DB8-BD64-8C99E46DB1C1}" srcOrd="0" destOrd="0" presId="urn:microsoft.com/office/officeart/2005/8/layout/orgChart1"/>
    <dgm:cxn modelId="{4D1069C8-B1D7-4DD7-B000-F548894E4713}" type="presParOf" srcId="{AB217FD7-8561-4E63-B8C7-00623212D7F1}" destId="{9F8C18FE-4FA2-40CE-A611-AE1AD1092B1A}" srcOrd="1" destOrd="0" presId="urn:microsoft.com/office/officeart/2005/8/layout/orgChart1"/>
    <dgm:cxn modelId="{663DAB9D-90A2-4BEC-B9B3-F51362CB30D3}" type="presParOf" srcId="{BE1DB509-9E0E-45BD-878E-89370FC0D1CF}" destId="{A4440161-F795-4EE9-B7F5-F2C4B9AD8732}" srcOrd="1" destOrd="0" presId="urn:microsoft.com/office/officeart/2005/8/layout/orgChart1"/>
    <dgm:cxn modelId="{24A8E7C3-8631-4145-9044-6654C6A65EC4}" type="presParOf" srcId="{BE1DB509-9E0E-45BD-878E-89370FC0D1CF}" destId="{E4BAE1F9-6526-44B8-B23A-DC38E5FD8E93}" srcOrd="2" destOrd="0" presId="urn:microsoft.com/office/officeart/2005/8/layout/orgChart1"/>
    <dgm:cxn modelId="{F707240A-992F-4CFF-B0F0-B51DEB7E5304}" type="presParOf" srcId="{F3F62313-21E2-4F00-AC41-E701E280D38B}" destId="{29F56295-D546-4C31-91CD-AD5695AA4980}" srcOrd="2" destOrd="0" presId="urn:microsoft.com/office/officeart/2005/8/layout/orgChart1"/>
    <dgm:cxn modelId="{CEAF521C-6FB3-4805-8A99-84466E96077B}" type="presParOf" srcId="{F3F62313-21E2-4F00-AC41-E701E280D38B}" destId="{96ACF30E-C3BD-4287-A1BA-18E748A13D77}" srcOrd="3" destOrd="0" presId="urn:microsoft.com/office/officeart/2005/8/layout/orgChart1"/>
    <dgm:cxn modelId="{4219752C-C7A8-4405-A939-5BE873A4CDFD}" type="presParOf" srcId="{96ACF30E-C3BD-4287-A1BA-18E748A13D77}" destId="{F0FB5773-70BF-4B85-AEB0-4781F696BAF7}" srcOrd="0" destOrd="0" presId="urn:microsoft.com/office/officeart/2005/8/layout/orgChart1"/>
    <dgm:cxn modelId="{3E9C9D4C-654D-4F51-B866-2BB4FBE3291E}" type="presParOf" srcId="{F0FB5773-70BF-4B85-AEB0-4781F696BAF7}" destId="{17F7A3BA-A21D-4120-845F-DE69BEDDBBEF}" srcOrd="0" destOrd="0" presId="urn:microsoft.com/office/officeart/2005/8/layout/orgChart1"/>
    <dgm:cxn modelId="{8B927D18-B6AC-477D-840A-73BBC4D5CC5A}" type="presParOf" srcId="{F0FB5773-70BF-4B85-AEB0-4781F696BAF7}" destId="{E3693A93-0BFA-42AA-8323-A669AE1BE27D}" srcOrd="1" destOrd="0" presId="urn:microsoft.com/office/officeart/2005/8/layout/orgChart1"/>
    <dgm:cxn modelId="{A2B11365-2343-4DD4-A609-894F30FADA21}" type="presParOf" srcId="{96ACF30E-C3BD-4287-A1BA-18E748A13D77}" destId="{78A2DCC0-688C-4448-8291-08DF604CDA4D}" srcOrd="1" destOrd="0" presId="urn:microsoft.com/office/officeart/2005/8/layout/orgChart1"/>
    <dgm:cxn modelId="{16245AE1-BB81-4E93-BE7A-5304337C0006}" type="presParOf" srcId="{96ACF30E-C3BD-4287-A1BA-18E748A13D77}" destId="{3B4D3A5A-2B85-433F-9401-7770456B2D2F}" srcOrd="2" destOrd="0" presId="urn:microsoft.com/office/officeart/2005/8/layout/orgChart1"/>
    <dgm:cxn modelId="{DCA6C3A3-FDCE-4F81-9520-0D7DD169E846}" type="presParOf" srcId="{F3F62313-21E2-4F00-AC41-E701E280D38B}" destId="{E005C577-C34E-4108-9C75-E06049D73B11}" srcOrd="4" destOrd="0" presId="urn:microsoft.com/office/officeart/2005/8/layout/orgChart1"/>
    <dgm:cxn modelId="{E518BBB6-6C54-4E46-A37C-AF9ECAF08F13}" type="presParOf" srcId="{F3F62313-21E2-4F00-AC41-E701E280D38B}" destId="{FD4F74BC-2C6E-4E9B-86E4-3B35F578A118}" srcOrd="5" destOrd="0" presId="urn:microsoft.com/office/officeart/2005/8/layout/orgChart1"/>
    <dgm:cxn modelId="{8BE1FD11-5004-4A5A-885A-275D674FB936}" type="presParOf" srcId="{FD4F74BC-2C6E-4E9B-86E4-3B35F578A118}" destId="{AD8BE2AB-DFB8-4A0B-9985-FA03ECEA0F9B}" srcOrd="0" destOrd="0" presId="urn:microsoft.com/office/officeart/2005/8/layout/orgChart1"/>
    <dgm:cxn modelId="{210F88A6-44C6-4BD4-AC2E-A7490EBBBC8B}" type="presParOf" srcId="{AD8BE2AB-DFB8-4A0B-9985-FA03ECEA0F9B}" destId="{656BF3EA-28AD-413D-AF2E-2C0FEA905081}" srcOrd="0" destOrd="0" presId="urn:microsoft.com/office/officeart/2005/8/layout/orgChart1"/>
    <dgm:cxn modelId="{D97C3FBE-52E8-44D2-9999-8CDC355FD028}" type="presParOf" srcId="{AD8BE2AB-DFB8-4A0B-9985-FA03ECEA0F9B}" destId="{5E347A1A-EE32-4C05-A5F8-4CF2869BE9D7}" srcOrd="1" destOrd="0" presId="urn:microsoft.com/office/officeart/2005/8/layout/orgChart1"/>
    <dgm:cxn modelId="{02A38EBE-020F-4555-8EE7-B01844A7D988}" type="presParOf" srcId="{FD4F74BC-2C6E-4E9B-86E4-3B35F578A118}" destId="{22DBFF7D-2B0C-45CD-ACD3-4AA9F3B4F305}" srcOrd="1" destOrd="0" presId="urn:microsoft.com/office/officeart/2005/8/layout/orgChart1"/>
    <dgm:cxn modelId="{15F04803-D839-412B-8C23-DDC9A3684CCC}" type="presParOf" srcId="{FD4F74BC-2C6E-4E9B-86E4-3B35F578A118}" destId="{28B5B76E-C087-43BB-8A5A-B79DE7BFC3BB}" srcOrd="2" destOrd="0" presId="urn:microsoft.com/office/officeart/2005/8/layout/orgChart1"/>
    <dgm:cxn modelId="{4E78426B-1A37-46CF-BFA5-EEE4CD62151C}" type="presParOf" srcId="{F3F62313-21E2-4F00-AC41-E701E280D38B}" destId="{C4CADB5A-28C5-4190-86F8-BCF95635D5F2}" srcOrd="6" destOrd="0" presId="urn:microsoft.com/office/officeart/2005/8/layout/orgChart1"/>
    <dgm:cxn modelId="{8AF0D11B-09C7-4E55-A439-72662457CFEA}" type="presParOf" srcId="{F3F62313-21E2-4F00-AC41-E701E280D38B}" destId="{3D35E54D-0273-435E-8566-79D053A6D0B1}" srcOrd="7" destOrd="0" presId="urn:microsoft.com/office/officeart/2005/8/layout/orgChart1"/>
    <dgm:cxn modelId="{C41CA15D-1336-4346-A266-4C087E03D828}" type="presParOf" srcId="{3D35E54D-0273-435E-8566-79D053A6D0B1}" destId="{E9F30D65-E883-4D3A-8FFA-FD62C3EBBFE3}" srcOrd="0" destOrd="0" presId="urn:microsoft.com/office/officeart/2005/8/layout/orgChart1"/>
    <dgm:cxn modelId="{44203FBD-BC97-4370-90D0-364E5EC85548}" type="presParOf" srcId="{E9F30D65-E883-4D3A-8FFA-FD62C3EBBFE3}" destId="{F11E0FA5-B364-4F8A-A702-D9613ECD8517}" srcOrd="0" destOrd="0" presId="urn:microsoft.com/office/officeart/2005/8/layout/orgChart1"/>
    <dgm:cxn modelId="{D4C438D9-A777-40BB-B695-843A10194A91}" type="presParOf" srcId="{E9F30D65-E883-4D3A-8FFA-FD62C3EBBFE3}" destId="{94DC24B2-8898-4CCD-931C-1875A0478F39}" srcOrd="1" destOrd="0" presId="urn:microsoft.com/office/officeart/2005/8/layout/orgChart1"/>
    <dgm:cxn modelId="{8E863661-E424-4615-B4A1-70FE05FBD022}" type="presParOf" srcId="{3D35E54D-0273-435E-8566-79D053A6D0B1}" destId="{10AD43C5-47D1-4C18-A9B2-D53794B886B2}" srcOrd="1" destOrd="0" presId="urn:microsoft.com/office/officeart/2005/8/layout/orgChart1"/>
    <dgm:cxn modelId="{6D8C695C-CB7B-44D4-A3C0-3D3EE21942ED}" type="presParOf" srcId="{3D35E54D-0273-435E-8566-79D053A6D0B1}" destId="{866733DD-2168-432D-B3C7-8774B8946EB9}" srcOrd="2" destOrd="0" presId="urn:microsoft.com/office/officeart/2005/8/layout/orgChart1"/>
    <dgm:cxn modelId="{12345A68-F7BA-4CE6-8829-7AF7AE236732}" type="presParOf" srcId="{395EB07B-D756-48B9-8E6B-0ABCAA358A8B}" destId="{144CCAB9-D87B-42F1-88BE-B4A99455AB5E}" srcOrd="2" destOrd="0" presId="urn:microsoft.com/office/officeart/2005/8/layout/orgChart1"/>
    <dgm:cxn modelId="{8F28D5AF-2F66-4D6F-A1DB-A2F6BE0EA71B}" type="presParOf" srcId="{151DAF7B-D43A-4640-84C7-284BA1860D25}" destId="{27AB4ADB-A857-4F76-8685-F2A81693BA44}" srcOrd="2" destOrd="0" presId="urn:microsoft.com/office/officeart/2005/8/layout/orgChart1"/>
    <dgm:cxn modelId="{A4CA21E1-F83D-480C-92DC-CC4F28FF2946}" type="presParOf" srcId="{151DAF7B-D43A-4640-84C7-284BA1860D25}" destId="{72A1D280-EDB9-46E8-BE44-7569D2E34EF3}" srcOrd="3" destOrd="0" presId="urn:microsoft.com/office/officeart/2005/8/layout/orgChart1"/>
    <dgm:cxn modelId="{15155C1D-19D6-45C9-B2FE-9B869EA73959}" type="presParOf" srcId="{72A1D280-EDB9-46E8-BE44-7569D2E34EF3}" destId="{DE08AA9E-1791-462A-B625-C1B06280F9C7}" srcOrd="0" destOrd="0" presId="urn:microsoft.com/office/officeart/2005/8/layout/orgChart1"/>
    <dgm:cxn modelId="{AE284FE6-36A5-4E59-9A17-8DEFC964E730}" type="presParOf" srcId="{DE08AA9E-1791-462A-B625-C1B06280F9C7}" destId="{62F4258B-C5E7-4DDD-9EE3-406ED25B322B}" srcOrd="0" destOrd="0" presId="urn:microsoft.com/office/officeart/2005/8/layout/orgChart1"/>
    <dgm:cxn modelId="{BF906904-3200-41F6-B76D-506997E7D02C}" type="presParOf" srcId="{DE08AA9E-1791-462A-B625-C1B06280F9C7}" destId="{FFF75D31-3CF0-4E0B-BC27-9EA425F70DE6}" srcOrd="1" destOrd="0" presId="urn:microsoft.com/office/officeart/2005/8/layout/orgChart1"/>
    <dgm:cxn modelId="{8DDA3D02-4A66-4066-B186-F433993061BB}" type="presParOf" srcId="{72A1D280-EDB9-46E8-BE44-7569D2E34EF3}" destId="{8D51CCFB-E934-4B93-99D0-879D141F5B40}" srcOrd="1" destOrd="0" presId="urn:microsoft.com/office/officeart/2005/8/layout/orgChart1"/>
    <dgm:cxn modelId="{90E0C35F-13E8-432B-BDF8-8A08030AC858}" type="presParOf" srcId="{8D51CCFB-E934-4B93-99D0-879D141F5B40}" destId="{094CB323-7459-4E10-949F-4ED9FC79477A}" srcOrd="0" destOrd="0" presId="urn:microsoft.com/office/officeart/2005/8/layout/orgChart1"/>
    <dgm:cxn modelId="{C506DDEC-4AF6-4EC4-9B47-51BECAA99BC7}" type="presParOf" srcId="{8D51CCFB-E934-4B93-99D0-879D141F5B40}" destId="{19C18ADF-6591-426B-B588-2062CBC534E3}" srcOrd="1" destOrd="0" presId="urn:microsoft.com/office/officeart/2005/8/layout/orgChart1"/>
    <dgm:cxn modelId="{3C925C7B-A390-472D-BDC8-2CAB8D9D9036}" type="presParOf" srcId="{19C18ADF-6591-426B-B588-2062CBC534E3}" destId="{64AEDC4A-F701-41BC-9BD5-1BEA16E13620}" srcOrd="0" destOrd="0" presId="urn:microsoft.com/office/officeart/2005/8/layout/orgChart1"/>
    <dgm:cxn modelId="{02F3D6FB-208E-4F01-965C-F0281935791E}" type="presParOf" srcId="{64AEDC4A-F701-41BC-9BD5-1BEA16E13620}" destId="{ACF06D77-4611-4650-98EF-5185D810B6AE}" srcOrd="0" destOrd="0" presId="urn:microsoft.com/office/officeart/2005/8/layout/orgChart1"/>
    <dgm:cxn modelId="{98F72CBF-8707-44C8-A5BA-75DE9BAC8599}" type="presParOf" srcId="{64AEDC4A-F701-41BC-9BD5-1BEA16E13620}" destId="{C57971A1-4B4D-459F-9574-A62CA6811291}" srcOrd="1" destOrd="0" presId="urn:microsoft.com/office/officeart/2005/8/layout/orgChart1"/>
    <dgm:cxn modelId="{BDA8DF51-3AA5-4EC7-A8D4-1F1F5EC47719}" type="presParOf" srcId="{19C18ADF-6591-426B-B588-2062CBC534E3}" destId="{CBCBE114-A26E-4ABB-A93D-736E600EDB6B}" srcOrd="1" destOrd="0" presId="urn:microsoft.com/office/officeart/2005/8/layout/orgChart1"/>
    <dgm:cxn modelId="{219E3E30-D8A3-4692-BF63-8B89E85954E2}" type="presParOf" srcId="{CBCBE114-A26E-4ABB-A93D-736E600EDB6B}" destId="{F970536D-FAFB-4C8D-8037-06295DD6472D}" srcOrd="0" destOrd="0" presId="urn:microsoft.com/office/officeart/2005/8/layout/orgChart1"/>
    <dgm:cxn modelId="{0BF876D3-2A91-4DB3-967C-411F9A88499F}" type="presParOf" srcId="{CBCBE114-A26E-4ABB-A93D-736E600EDB6B}" destId="{F3568E19-B222-45D2-A00A-4744C37A9085}" srcOrd="1" destOrd="0" presId="urn:microsoft.com/office/officeart/2005/8/layout/orgChart1"/>
    <dgm:cxn modelId="{D73F3C07-5C41-4E25-8391-C8593512558E}" type="presParOf" srcId="{F3568E19-B222-45D2-A00A-4744C37A9085}" destId="{C7AE11EE-EF54-4E64-9B4A-00CB24DD8FF5}" srcOrd="0" destOrd="0" presId="urn:microsoft.com/office/officeart/2005/8/layout/orgChart1"/>
    <dgm:cxn modelId="{B0296671-47FE-4989-AD6E-AFD67D658852}" type="presParOf" srcId="{C7AE11EE-EF54-4E64-9B4A-00CB24DD8FF5}" destId="{D1291E23-1C8E-4419-B3CD-77D118F1FD12}" srcOrd="0" destOrd="0" presId="urn:microsoft.com/office/officeart/2005/8/layout/orgChart1"/>
    <dgm:cxn modelId="{A421C710-6B47-4BD9-8215-03E8B725C2D7}" type="presParOf" srcId="{C7AE11EE-EF54-4E64-9B4A-00CB24DD8FF5}" destId="{15F1B390-CAFA-4C33-8AA9-ED5F2603762F}" srcOrd="1" destOrd="0" presId="urn:microsoft.com/office/officeart/2005/8/layout/orgChart1"/>
    <dgm:cxn modelId="{B77FCB4E-EA75-49DF-84B6-ED865C9A282B}" type="presParOf" srcId="{F3568E19-B222-45D2-A00A-4744C37A9085}" destId="{1D492F39-7B31-45E9-B4E3-92FAF979E674}" srcOrd="1" destOrd="0" presId="urn:microsoft.com/office/officeart/2005/8/layout/orgChart1"/>
    <dgm:cxn modelId="{13D099C4-4865-499E-95BD-01AD8FC60D65}" type="presParOf" srcId="{1D492F39-7B31-45E9-B4E3-92FAF979E674}" destId="{E4432B7A-B481-44AE-9275-C01945717827}" srcOrd="0" destOrd="0" presId="urn:microsoft.com/office/officeart/2005/8/layout/orgChart1"/>
    <dgm:cxn modelId="{33E6C80A-C977-498F-936A-4348FD214A5A}" type="presParOf" srcId="{1D492F39-7B31-45E9-B4E3-92FAF979E674}" destId="{51BC7CD0-ACCD-457E-A98F-EA454DF6DA3F}" srcOrd="1" destOrd="0" presId="urn:microsoft.com/office/officeart/2005/8/layout/orgChart1"/>
    <dgm:cxn modelId="{CBD5E7A1-6EBE-4670-8D03-58181AC5A017}" type="presParOf" srcId="{51BC7CD0-ACCD-457E-A98F-EA454DF6DA3F}" destId="{8F86DE49-2D8A-4F3B-B6BD-91BCF89BEB0A}" srcOrd="0" destOrd="0" presId="urn:microsoft.com/office/officeart/2005/8/layout/orgChart1"/>
    <dgm:cxn modelId="{4BDC1017-10A7-4AEF-8922-0FE45B4E1D12}" type="presParOf" srcId="{8F86DE49-2D8A-4F3B-B6BD-91BCF89BEB0A}" destId="{27F7AE64-A30D-4D24-959B-7576B13E78D3}" srcOrd="0" destOrd="0" presId="urn:microsoft.com/office/officeart/2005/8/layout/orgChart1"/>
    <dgm:cxn modelId="{CCC8E41B-18F3-404B-ABF5-501E79960E27}" type="presParOf" srcId="{8F86DE49-2D8A-4F3B-B6BD-91BCF89BEB0A}" destId="{E7FA0C38-05C7-4287-A09C-5E2C5DFB8C78}" srcOrd="1" destOrd="0" presId="urn:microsoft.com/office/officeart/2005/8/layout/orgChart1"/>
    <dgm:cxn modelId="{0951FD0C-8CC1-4588-9E15-630ACD7B53DA}" type="presParOf" srcId="{51BC7CD0-ACCD-457E-A98F-EA454DF6DA3F}" destId="{A7327040-9C86-40AB-9B40-2E3562CA4CEB}" srcOrd="1" destOrd="0" presId="urn:microsoft.com/office/officeart/2005/8/layout/orgChart1"/>
    <dgm:cxn modelId="{4EC505EC-10E7-431D-9EAD-E0161E8D4C72}" type="presParOf" srcId="{51BC7CD0-ACCD-457E-A98F-EA454DF6DA3F}" destId="{63B2CD83-3EED-49DF-9C2A-8811739E8AEB}" srcOrd="2" destOrd="0" presId="urn:microsoft.com/office/officeart/2005/8/layout/orgChart1"/>
    <dgm:cxn modelId="{692A0BC0-EFCE-4A49-B2BA-E55C583B994C}" type="presParOf" srcId="{1D492F39-7B31-45E9-B4E3-92FAF979E674}" destId="{C44CFD28-FFE5-438C-8F93-2EBE2F7C0269}" srcOrd="2" destOrd="0" presId="urn:microsoft.com/office/officeart/2005/8/layout/orgChart1"/>
    <dgm:cxn modelId="{400684B5-A569-4875-A6F9-5E6ADE87DF58}" type="presParOf" srcId="{1D492F39-7B31-45E9-B4E3-92FAF979E674}" destId="{16B5072B-CCA9-442F-8594-CF538AB1D353}" srcOrd="3" destOrd="0" presId="urn:microsoft.com/office/officeart/2005/8/layout/orgChart1"/>
    <dgm:cxn modelId="{284B5AEE-B4C7-4A58-9138-3BE7DF10AC30}" type="presParOf" srcId="{16B5072B-CCA9-442F-8594-CF538AB1D353}" destId="{FFE058B1-1D69-4A21-8A43-E67974480131}" srcOrd="0" destOrd="0" presId="urn:microsoft.com/office/officeart/2005/8/layout/orgChart1"/>
    <dgm:cxn modelId="{1C5CA8AC-4661-4419-AC48-0877360E69BA}" type="presParOf" srcId="{FFE058B1-1D69-4A21-8A43-E67974480131}" destId="{363B202D-7A87-4A6C-A1F0-102131836434}" srcOrd="0" destOrd="0" presId="urn:microsoft.com/office/officeart/2005/8/layout/orgChart1"/>
    <dgm:cxn modelId="{4C049AF5-2F7F-4308-8162-1D9B8A8083FA}" type="presParOf" srcId="{FFE058B1-1D69-4A21-8A43-E67974480131}" destId="{FA8E88D1-9BA4-418E-9D6B-2F599D184515}" srcOrd="1" destOrd="0" presId="urn:microsoft.com/office/officeart/2005/8/layout/orgChart1"/>
    <dgm:cxn modelId="{31454350-FEE2-42BB-9C42-D524D8975396}" type="presParOf" srcId="{16B5072B-CCA9-442F-8594-CF538AB1D353}" destId="{7DC40ADF-AB57-4BB4-A38B-C9B7207B7AD7}" srcOrd="1" destOrd="0" presId="urn:microsoft.com/office/officeart/2005/8/layout/orgChart1"/>
    <dgm:cxn modelId="{5A7EEC30-881E-4FBE-9AAA-2DADC31CE469}" type="presParOf" srcId="{16B5072B-CCA9-442F-8594-CF538AB1D353}" destId="{D6F432D6-0D4D-494F-A2D2-C776D09F1EBE}" srcOrd="2" destOrd="0" presId="urn:microsoft.com/office/officeart/2005/8/layout/orgChart1"/>
    <dgm:cxn modelId="{8BE07A4E-0101-4F1D-A465-EF205B82DA14}" type="presParOf" srcId="{F3568E19-B222-45D2-A00A-4744C37A9085}" destId="{E0C15DAE-9F91-4358-BE48-67C4ABDAC721}" srcOrd="2" destOrd="0" presId="urn:microsoft.com/office/officeart/2005/8/layout/orgChart1"/>
    <dgm:cxn modelId="{21B88252-7335-4CB8-9D61-F7FD4B682C3D}" type="presParOf" srcId="{CBCBE114-A26E-4ABB-A93D-736E600EDB6B}" destId="{4A876694-BF19-46DE-B452-875368411D68}" srcOrd="2" destOrd="0" presId="urn:microsoft.com/office/officeart/2005/8/layout/orgChart1"/>
    <dgm:cxn modelId="{5BE2CC96-6F35-404A-8764-01AA094698F3}" type="presParOf" srcId="{CBCBE114-A26E-4ABB-A93D-736E600EDB6B}" destId="{05C9EC62-304A-43DD-867E-D324223086B6}" srcOrd="3" destOrd="0" presId="urn:microsoft.com/office/officeart/2005/8/layout/orgChart1"/>
    <dgm:cxn modelId="{690635F1-CF23-47EE-929D-864EB42190F2}" type="presParOf" srcId="{05C9EC62-304A-43DD-867E-D324223086B6}" destId="{DAB38518-1C2E-493B-8D57-AC7538A9E7AA}" srcOrd="0" destOrd="0" presId="urn:microsoft.com/office/officeart/2005/8/layout/orgChart1"/>
    <dgm:cxn modelId="{535ED61C-EB92-45BD-8A9A-05D916353EA5}" type="presParOf" srcId="{DAB38518-1C2E-493B-8D57-AC7538A9E7AA}" destId="{E94B6404-BBAB-4537-B122-22EDBB8BA2BD}" srcOrd="0" destOrd="0" presId="urn:microsoft.com/office/officeart/2005/8/layout/orgChart1"/>
    <dgm:cxn modelId="{8BFF317F-95A8-41AB-B649-DFC3D1A8B35F}" type="presParOf" srcId="{DAB38518-1C2E-493B-8D57-AC7538A9E7AA}" destId="{DB324A68-A2D8-442A-BDD3-FA66FBB7CE83}" srcOrd="1" destOrd="0" presId="urn:microsoft.com/office/officeart/2005/8/layout/orgChart1"/>
    <dgm:cxn modelId="{F0E68E81-CCB2-4E36-BCE7-22B8BBCC0270}" type="presParOf" srcId="{05C9EC62-304A-43DD-867E-D324223086B6}" destId="{A2883E15-7B9C-4FBB-934F-2E2701E141A0}" srcOrd="1" destOrd="0" presId="urn:microsoft.com/office/officeart/2005/8/layout/orgChart1"/>
    <dgm:cxn modelId="{C439982A-5DF6-448F-8951-56F9E37E913C}" type="presParOf" srcId="{05C9EC62-304A-43DD-867E-D324223086B6}" destId="{DB3C6AF8-9260-48CF-8FAB-42E9EE83897B}" srcOrd="2" destOrd="0" presId="urn:microsoft.com/office/officeart/2005/8/layout/orgChart1"/>
    <dgm:cxn modelId="{5129B641-A005-4FB2-9F88-8160F442402A}" type="presParOf" srcId="{CBCBE114-A26E-4ABB-A93D-736E600EDB6B}" destId="{BE0C7418-3F03-4510-9D56-21F5B3B1D031}" srcOrd="4" destOrd="0" presId="urn:microsoft.com/office/officeart/2005/8/layout/orgChart1"/>
    <dgm:cxn modelId="{ED9480E7-8F80-43C2-851B-FC0F0FB3F28A}" type="presParOf" srcId="{CBCBE114-A26E-4ABB-A93D-736E600EDB6B}" destId="{9BD629C1-D3CE-43C5-A706-CE1C6E5EEE89}" srcOrd="5" destOrd="0" presId="urn:microsoft.com/office/officeart/2005/8/layout/orgChart1"/>
    <dgm:cxn modelId="{03894E03-B021-4A74-BC91-03AE9F7C2A7F}" type="presParOf" srcId="{9BD629C1-D3CE-43C5-A706-CE1C6E5EEE89}" destId="{4F42BF1E-703C-4B09-BD92-2E5E30DDBF07}" srcOrd="0" destOrd="0" presId="urn:microsoft.com/office/officeart/2005/8/layout/orgChart1"/>
    <dgm:cxn modelId="{C106C64B-D95A-4F8F-9A11-3848508DD45F}" type="presParOf" srcId="{4F42BF1E-703C-4B09-BD92-2E5E30DDBF07}" destId="{F5CC38DF-E659-4FDD-A0D2-126B51300B04}" srcOrd="0" destOrd="0" presId="urn:microsoft.com/office/officeart/2005/8/layout/orgChart1"/>
    <dgm:cxn modelId="{ECBBE628-051A-4A39-A82A-8BE7947030F3}" type="presParOf" srcId="{4F42BF1E-703C-4B09-BD92-2E5E30DDBF07}" destId="{B0923FD3-58F2-4640-BE40-C1D32CCA3D1F}" srcOrd="1" destOrd="0" presId="urn:microsoft.com/office/officeart/2005/8/layout/orgChart1"/>
    <dgm:cxn modelId="{83AA435C-ECCB-46C5-90CE-D9F8B8ADA3C0}" type="presParOf" srcId="{9BD629C1-D3CE-43C5-A706-CE1C6E5EEE89}" destId="{3FCF9274-8E72-457A-82A6-CB2C8990D28D}" srcOrd="1" destOrd="0" presId="urn:microsoft.com/office/officeart/2005/8/layout/orgChart1"/>
    <dgm:cxn modelId="{56D82839-99E6-4CDC-B064-D7B1A32A2E26}" type="presParOf" srcId="{3FCF9274-8E72-457A-82A6-CB2C8990D28D}" destId="{04F050AC-1F6F-45B1-8722-44F110766813}" srcOrd="0" destOrd="0" presId="urn:microsoft.com/office/officeart/2005/8/layout/orgChart1"/>
    <dgm:cxn modelId="{F97C758D-4856-405A-BC3A-6D968AC02331}" type="presParOf" srcId="{3FCF9274-8E72-457A-82A6-CB2C8990D28D}" destId="{EDA53825-A9E9-4A3D-BF46-896405E71B7E}" srcOrd="1" destOrd="0" presId="urn:microsoft.com/office/officeart/2005/8/layout/orgChart1"/>
    <dgm:cxn modelId="{DA7BA7CA-0652-4830-B9D6-BF03DE842C63}" type="presParOf" srcId="{EDA53825-A9E9-4A3D-BF46-896405E71B7E}" destId="{47F5B50C-E9F7-4DC5-8DAF-0670D1DD5583}" srcOrd="0" destOrd="0" presId="urn:microsoft.com/office/officeart/2005/8/layout/orgChart1"/>
    <dgm:cxn modelId="{CECF0A14-61F5-48F6-A512-A7686E29D9CC}" type="presParOf" srcId="{47F5B50C-E9F7-4DC5-8DAF-0670D1DD5583}" destId="{DB806BCD-2DF0-4DBB-BC15-66EC7A00C8F5}" srcOrd="0" destOrd="0" presId="urn:microsoft.com/office/officeart/2005/8/layout/orgChart1"/>
    <dgm:cxn modelId="{DFB82D96-E4C8-4218-B3EE-DE4045AFDA82}" type="presParOf" srcId="{47F5B50C-E9F7-4DC5-8DAF-0670D1DD5583}" destId="{4798A7CE-D6D1-450A-97B1-DD4712401C81}" srcOrd="1" destOrd="0" presId="urn:microsoft.com/office/officeart/2005/8/layout/orgChart1"/>
    <dgm:cxn modelId="{57F9B716-D91D-41C7-BA0A-9785D4F19EF6}" type="presParOf" srcId="{EDA53825-A9E9-4A3D-BF46-896405E71B7E}" destId="{7DB1DC0D-7C4D-4ED8-8E04-CEC59325C063}" srcOrd="1" destOrd="0" presId="urn:microsoft.com/office/officeart/2005/8/layout/orgChart1"/>
    <dgm:cxn modelId="{FB974DDC-5BC0-46A2-9545-A46C7A12ADA6}" type="presParOf" srcId="{EDA53825-A9E9-4A3D-BF46-896405E71B7E}" destId="{653CD207-D071-49E1-A91C-B14B6DDAE629}" srcOrd="2" destOrd="0" presId="urn:microsoft.com/office/officeart/2005/8/layout/orgChart1"/>
    <dgm:cxn modelId="{F144EEAB-885C-46CA-A1FC-3D05D31BEDB6}" type="presParOf" srcId="{9BD629C1-D3CE-43C5-A706-CE1C6E5EEE89}" destId="{B5EF46C0-70BE-4034-864E-D69B18AEFAD9}" srcOrd="2" destOrd="0" presId="urn:microsoft.com/office/officeart/2005/8/layout/orgChart1"/>
    <dgm:cxn modelId="{E6C327FD-2950-4368-AD55-912C746E953F}" type="presParOf" srcId="{19C18ADF-6591-426B-B588-2062CBC534E3}" destId="{0D8D0925-791C-426A-ACAC-067D0FABE35D}" srcOrd="2" destOrd="0" presId="urn:microsoft.com/office/officeart/2005/8/layout/orgChart1"/>
    <dgm:cxn modelId="{E32BB43B-E585-474C-8B4F-F59B23491A3A}" type="presParOf" srcId="{72A1D280-EDB9-46E8-BE44-7569D2E34EF3}" destId="{BFB1AE2C-4CAA-45D6-88D9-19562B32AFBA}" srcOrd="2" destOrd="0" presId="urn:microsoft.com/office/officeart/2005/8/layout/orgChart1"/>
    <dgm:cxn modelId="{7630A56F-3C54-4290-BC8F-E5AC67E9DF37}" type="presParOf" srcId="{6CE5141C-EEF8-4D42-8486-2C46065F6CDF}" destId="{6174CB22-B80C-481A-9612-5959C3B0B319}" srcOrd="2" destOrd="0" presId="urn:microsoft.com/office/officeart/2005/8/layout/orgChart1"/>
    <dgm:cxn modelId="{E1142C91-18D9-4F21-86F3-632CF647579F}" type="presParOf" srcId="{6DE94ADC-319E-4C5E-823C-F2CBE9684D16}" destId="{B6F86005-D4FC-47D2-B42F-6EB5D7A99451}" srcOrd="1" destOrd="0" presId="urn:microsoft.com/office/officeart/2005/8/layout/orgChart1"/>
    <dgm:cxn modelId="{CD96B19E-A325-4712-B625-51C827A59F1D}" type="presParOf" srcId="{B6F86005-D4FC-47D2-B42F-6EB5D7A99451}" destId="{F6DB3D71-2793-4485-A5BF-939E141DACB4}" srcOrd="0" destOrd="0" presId="urn:microsoft.com/office/officeart/2005/8/layout/orgChart1"/>
    <dgm:cxn modelId="{7E20368D-FC3A-4E6C-B55E-889EFB78CEB5}" type="presParOf" srcId="{F6DB3D71-2793-4485-A5BF-939E141DACB4}" destId="{6082EBD5-5DD1-46CB-B838-582F04F3CF74}" srcOrd="0" destOrd="0" presId="urn:microsoft.com/office/officeart/2005/8/layout/orgChart1"/>
    <dgm:cxn modelId="{910B35C0-83E3-4CDB-B6F2-D533A0AC03AA}" type="presParOf" srcId="{F6DB3D71-2793-4485-A5BF-939E141DACB4}" destId="{7174D915-6D07-40F6-B8ED-C21AE65ACBC3}" srcOrd="1" destOrd="0" presId="urn:microsoft.com/office/officeart/2005/8/layout/orgChart1"/>
    <dgm:cxn modelId="{BCB92716-3E68-40F4-A587-36780E7A44D7}" type="presParOf" srcId="{B6F86005-D4FC-47D2-B42F-6EB5D7A99451}" destId="{949FB98A-A2F7-4333-A738-890744047262}" srcOrd="1" destOrd="0" presId="urn:microsoft.com/office/officeart/2005/8/layout/orgChart1"/>
    <dgm:cxn modelId="{B52EA341-96C1-4D2D-A2E6-23FC891C18DE}" type="presParOf" srcId="{949FB98A-A2F7-4333-A738-890744047262}" destId="{A398FD51-39BC-43D7-A728-219B46F9D927}" srcOrd="0" destOrd="0" presId="urn:microsoft.com/office/officeart/2005/8/layout/orgChart1"/>
    <dgm:cxn modelId="{9F26C70F-58C8-4DB5-AD0F-7C517CF1C937}" type="presParOf" srcId="{949FB98A-A2F7-4333-A738-890744047262}" destId="{D388D210-8658-4BCF-9993-5DFAE2AEDAF4}" srcOrd="1" destOrd="0" presId="urn:microsoft.com/office/officeart/2005/8/layout/orgChart1"/>
    <dgm:cxn modelId="{D0D758AF-9290-4D99-8FEB-BD887DF18393}" type="presParOf" srcId="{D388D210-8658-4BCF-9993-5DFAE2AEDAF4}" destId="{E8B3C600-9261-4D13-A463-9B1DF14F3B7C}" srcOrd="0" destOrd="0" presId="urn:microsoft.com/office/officeart/2005/8/layout/orgChart1"/>
    <dgm:cxn modelId="{E640C2CD-934F-4842-9E3A-8EA8DADCAE56}" type="presParOf" srcId="{E8B3C600-9261-4D13-A463-9B1DF14F3B7C}" destId="{B88F1C60-EBDC-4C39-9D4A-43DE9407F41A}" srcOrd="0" destOrd="0" presId="urn:microsoft.com/office/officeart/2005/8/layout/orgChart1"/>
    <dgm:cxn modelId="{9AACA899-F176-48C2-B771-CCC48F16C220}" type="presParOf" srcId="{E8B3C600-9261-4D13-A463-9B1DF14F3B7C}" destId="{A0353E5E-7D45-48CA-B881-311DA07E6089}" srcOrd="1" destOrd="0" presId="urn:microsoft.com/office/officeart/2005/8/layout/orgChart1"/>
    <dgm:cxn modelId="{5D0F39A4-F833-4A68-A57C-57A7CFDD8E07}" type="presParOf" srcId="{D388D210-8658-4BCF-9993-5DFAE2AEDAF4}" destId="{12F00074-AEF9-46BA-8874-4D40C4851D2D}" srcOrd="1" destOrd="0" presId="urn:microsoft.com/office/officeart/2005/8/layout/orgChart1"/>
    <dgm:cxn modelId="{7E40D56E-5171-484E-83A5-A816FC53C56B}" type="presParOf" srcId="{12F00074-AEF9-46BA-8874-4D40C4851D2D}" destId="{04AE9728-3D57-4121-9006-9C7431474EE4}" srcOrd="0" destOrd="0" presId="urn:microsoft.com/office/officeart/2005/8/layout/orgChart1"/>
    <dgm:cxn modelId="{D89EE756-8EE3-4B12-9BE6-D96EF03E6482}" type="presParOf" srcId="{12F00074-AEF9-46BA-8874-4D40C4851D2D}" destId="{C1CFE081-FABD-4600-9711-66E0178C2B03}" srcOrd="1" destOrd="0" presId="urn:microsoft.com/office/officeart/2005/8/layout/orgChart1"/>
    <dgm:cxn modelId="{EC7E716A-8183-4EC1-B148-D4815A4EDB5E}" type="presParOf" srcId="{C1CFE081-FABD-4600-9711-66E0178C2B03}" destId="{C52A4F4A-F144-4BF6-9625-EC64234EA416}" srcOrd="0" destOrd="0" presId="urn:microsoft.com/office/officeart/2005/8/layout/orgChart1"/>
    <dgm:cxn modelId="{35797F4B-21B8-4B5F-A8AF-428341B30DAD}" type="presParOf" srcId="{C52A4F4A-F144-4BF6-9625-EC64234EA416}" destId="{AABF7258-3A68-4C50-8C9F-5B0A348FD5D4}" srcOrd="0" destOrd="0" presId="urn:microsoft.com/office/officeart/2005/8/layout/orgChart1"/>
    <dgm:cxn modelId="{D7CDF1A0-2163-47F1-969F-59279EA353B1}" type="presParOf" srcId="{C52A4F4A-F144-4BF6-9625-EC64234EA416}" destId="{BD1712F7-DABF-48A5-A284-5D7C0E707A8B}" srcOrd="1" destOrd="0" presId="urn:microsoft.com/office/officeart/2005/8/layout/orgChart1"/>
    <dgm:cxn modelId="{0E876E75-26FC-4B18-8357-AD120F655E66}" type="presParOf" srcId="{C1CFE081-FABD-4600-9711-66E0178C2B03}" destId="{EC136918-3084-4149-95FA-8D05C833F43E}" srcOrd="1" destOrd="0" presId="urn:microsoft.com/office/officeart/2005/8/layout/orgChart1"/>
    <dgm:cxn modelId="{09EDEB54-33A3-4D03-BB8C-00A2D7BFFE40}" type="presParOf" srcId="{C1CFE081-FABD-4600-9711-66E0178C2B03}" destId="{2AFDDC81-5593-484F-9E35-BB14230C4647}" srcOrd="2" destOrd="0" presId="urn:microsoft.com/office/officeart/2005/8/layout/orgChart1"/>
    <dgm:cxn modelId="{B9AE9FDC-2ED1-4417-B021-2ED8A5E4A614}" type="presParOf" srcId="{12F00074-AEF9-46BA-8874-4D40C4851D2D}" destId="{66858752-8592-4427-9C05-544B0C2DA08B}" srcOrd="2" destOrd="0" presId="urn:microsoft.com/office/officeart/2005/8/layout/orgChart1"/>
    <dgm:cxn modelId="{1CA8B027-9767-4060-865B-EDB3B648E92E}" type="presParOf" srcId="{12F00074-AEF9-46BA-8874-4D40C4851D2D}" destId="{57998C1E-E73C-4838-94A6-956C33718A8E}" srcOrd="3" destOrd="0" presId="urn:microsoft.com/office/officeart/2005/8/layout/orgChart1"/>
    <dgm:cxn modelId="{A47AD1FC-E338-4CA1-B311-AD7AA24E46CA}" type="presParOf" srcId="{57998C1E-E73C-4838-94A6-956C33718A8E}" destId="{BE21FCE5-7182-43AB-9874-368B5E6B3EEF}" srcOrd="0" destOrd="0" presId="urn:microsoft.com/office/officeart/2005/8/layout/orgChart1"/>
    <dgm:cxn modelId="{3DA56199-8457-4502-98FE-2B99B6D86CDC}" type="presParOf" srcId="{BE21FCE5-7182-43AB-9874-368B5E6B3EEF}" destId="{04EFE57A-346A-4D7D-BE14-72E0464E83A8}" srcOrd="0" destOrd="0" presId="urn:microsoft.com/office/officeart/2005/8/layout/orgChart1"/>
    <dgm:cxn modelId="{EB7B0E8F-0CE0-403D-A6C9-89394510C36D}" type="presParOf" srcId="{BE21FCE5-7182-43AB-9874-368B5E6B3EEF}" destId="{18BE81A4-BE49-4CE9-B4C0-7842AF0A6834}" srcOrd="1" destOrd="0" presId="urn:microsoft.com/office/officeart/2005/8/layout/orgChart1"/>
    <dgm:cxn modelId="{4B1F8E22-1C84-4A97-A48C-6EE5479D0E19}" type="presParOf" srcId="{57998C1E-E73C-4838-94A6-956C33718A8E}" destId="{D36903B5-10D5-49B3-A7E7-B6657558155E}" srcOrd="1" destOrd="0" presId="urn:microsoft.com/office/officeart/2005/8/layout/orgChart1"/>
    <dgm:cxn modelId="{939F2139-59DC-4A10-81EC-0C90CD4B2839}" type="presParOf" srcId="{57998C1E-E73C-4838-94A6-956C33718A8E}" destId="{7F2AE1F5-228E-4396-AF81-0EB378D7A440}" srcOrd="2" destOrd="0" presId="urn:microsoft.com/office/officeart/2005/8/layout/orgChart1"/>
    <dgm:cxn modelId="{C3DE30E2-0956-4A58-9956-066AFA5D416A}" type="presParOf" srcId="{12F00074-AEF9-46BA-8874-4D40C4851D2D}" destId="{18E34EE4-86C8-4825-8C89-7F8622C591A5}" srcOrd="4" destOrd="0" presId="urn:microsoft.com/office/officeart/2005/8/layout/orgChart1"/>
    <dgm:cxn modelId="{EC11EBBD-CE74-4A23-9E01-8092F9ACCB02}" type="presParOf" srcId="{12F00074-AEF9-46BA-8874-4D40C4851D2D}" destId="{361DEE8E-C89D-4453-BCF9-01D2F249B5AF}" srcOrd="5" destOrd="0" presId="urn:microsoft.com/office/officeart/2005/8/layout/orgChart1"/>
    <dgm:cxn modelId="{F8949EAF-B49E-4E71-90B3-B73042224716}" type="presParOf" srcId="{361DEE8E-C89D-4453-BCF9-01D2F249B5AF}" destId="{1983C487-DBEB-4D76-A478-DA36E94CCB35}" srcOrd="0" destOrd="0" presId="urn:microsoft.com/office/officeart/2005/8/layout/orgChart1"/>
    <dgm:cxn modelId="{2CC73D47-68F1-491F-90C9-B49FE26DAFEC}" type="presParOf" srcId="{1983C487-DBEB-4D76-A478-DA36E94CCB35}" destId="{F4ABF537-7FFD-4B3A-BD7F-F92CAA13DFB1}" srcOrd="0" destOrd="0" presId="urn:microsoft.com/office/officeart/2005/8/layout/orgChart1"/>
    <dgm:cxn modelId="{BF13D8DD-BB66-4361-AD47-6DC53C3ABB2F}" type="presParOf" srcId="{1983C487-DBEB-4D76-A478-DA36E94CCB35}" destId="{CE483592-D29F-41AA-97C5-9F0173288586}" srcOrd="1" destOrd="0" presId="urn:microsoft.com/office/officeart/2005/8/layout/orgChart1"/>
    <dgm:cxn modelId="{1B985F9C-2E2C-481B-9A84-064AB1897F9E}" type="presParOf" srcId="{361DEE8E-C89D-4453-BCF9-01D2F249B5AF}" destId="{EF156167-F168-4308-9EBC-191D06496346}" srcOrd="1" destOrd="0" presId="urn:microsoft.com/office/officeart/2005/8/layout/orgChart1"/>
    <dgm:cxn modelId="{0F21DE70-A55B-49B9-A02F-B2138E9C3FA2}" type="presParOf" srcId="{361DEE8E-C89D-4453-BCF9-01D2F249B5AF}" destId="{769065E5-E348-4D5B-A9D2-8BCAF1F09719}" srcOrd="2" destOrd="0" presId="urn:microsoft.com/office/officeart/2005/8/layout/orgChart1"/>
    <dgm:cxn modelId="{9DC99564-8694-4509-BC5D-B30A41B0C5B3}" type="presParOf" srcId="{12F00074-AEF9-46BA-8874-4D40C4851D2D}" destId="{EE02CA1F-09C8-4581-9726-5D987B155C40}" srcOrd="6" destOrd="0" presId="urn:microsoft.com/office/officeart/2005/8/layout/orgChart1"/>
    <dgm:cxn modelId="{0FAA8914-40DD-4E86-BE86-ABBA4E842034}" type="presParOf" srcId="{12F00074-AEF9-46BA-8874-4D40C4851D2D}" destId="{875C19D9-5632-4CA0-974A-B7B61A71F12B}" srcOrd="7" destOrd="0" presId="urn:microsoft.com/office/officeart/2005/8/layout/orgChart1"/>
    <dgm:cxn modelId="{7262B2DF-4571-404D-BD0B-5FE6BD1ACF49}" type="presParOf" srcId="{875C19D9-5632-4CA0-974A-B7B61A71F12B}" destId="{3FE18FE8-A5FF-4AC8-83B2-7FC274A8F884}" srcOrd="0" destOrd="0" presId="urn:microsoft.com/office/officeart/2005/8/layout/orgChart1"/>
    <dgm:cxn modelId="{2929F09A-8573-4360-AB60-4CDE7D4F653E}" type="presParOf" srcId="{3FE18FE8-A5FF-4AC8-83B2-7FC274A8F884}" destId="{25C26CDE-E9C1-45BC-A0A7-BEEA4DD15101}" srcOrd="0" destOrd="0" presId="urn:microsoft.com/office/officeart/2005/8/layout/orgChart1"/>
    <dgm:cxn modelId="{AFA1D1D3-0439-4F38-A439-950B18F6015F}" type="presParOf" srcId="{3FE18FE8-A5FF-4AC8-83B2-7FC274A8F884}" destId="{3BC04BD4-22C7-4778-864E-AA91407FC17F}" srcOrd="1" destOrd="0" presId="urn:microsoft.com/office/officeart/2005/8/layout/orgChart1"/>
    <dgm:cxn modelId="{BF074BD4-EE7B-40D3-B2D9-0DD47CE6C1D9}" type="presParOf" srcId="{875C19D9-5632-4CA0-974A-B7B61A71F12B}" destId="{C4DBBE7D-CAE3-487F-A449-BC57D7E0454E}" srcOrd="1" destOrd="0" presId="urn:microsoft.com/office/officeart/2005/8/layout/orgChart1"/>
    <dgm:cxn modelId="{43D63449-3FDE-45DF-A41B-14FE8FADDADD}" type="presParOf" srcId="{875C19D9-5632-4CA0-974A-B7B61A71F12B}" destId="{52A90FA3-215A-494C-BE9A-8AD533C1A9F2}" srcOrd="2" destOrd="0" presId="urn:microsoft.com/office/officeart/2005/8/layout/orgChart1"/>
    <dgm:cxn modelId="{B539BC66-2F23-4558-AF27-1EEB80885779}" type="presParOf" srcId="{D388D210-8658-4BCF-9993-5DFAE2AEDAF4}" destId="{715F25C9-0BCA-4F61-8868-0CD70280B119}" srcOrd="2" destOrd="0" presId="urn:microsoft.com/office/officeart/2005/8/layout/orgChart1"/>
    <dgm:cxn modelId="{4DDE323A-2B9D-4A6C-AB4D-E853915B0A8B}" type="presParOf" srcId="{949FB98A-A2F7-4333-A738-890744047262}" destId="{FDD155F9-F696-4A47-89DA-2C64DF50A969}" srcOrd="2" destOrd="0" presId="urn:microsoft.com/office/officeart/2005/8/layout/orgChart1"/>
    <dgm:cxn modelId="{BDF765C5-F6B7-4F8F-ABBB-B04D13071287}" type="presParOf" srcId="{949FB98A-A2F7-4333-A738-890744047262}" destId="{7DF9EE6B-DC1B-4D1E-B5E1-A830070E99F9}" srcOrd="3" destOrd="0" presId="urn:microsoft.com/office/officeart/2005/8/layout/orgChart1"/>
    <dgm:cxn modelId="{F545B4BB-B52F-4521-AA86-D556CBE06F55}" type="presParOf" srcId="{7DF9EE6B-DC1B-4D1E-B5E1-A830070E99F9}" destId="{FD600C5B-1F57-4A62-A9B9-30569263C6BA}" srcOrd="0" destOrd="0" presId="urn:microsoft.com/office/officeart/2005/8/layout/orgChart1"/>
    <dgm:cxn modelId="{2ED4B743-7577-46AC-AB9E-5D8456144408}" type="presParOf" srcId="{FD600C5B-1F57-4A62-A9B9-30569263C6BA}" destId="{482DCAEA-9419-4B13-B1A6-ADB76B84C176}" srcOrd="0" destOrd="0" presId="urn:microsoft.com/office/officeart/2005/8/layout/orgChart1"/>
    <dgm:cxn modelId="{8878CA38-E3AB-4842-8911-8CC2DC4597D5}" type="presParOf" srcId="{FD600C5B-1F57-4A62-A9B9-30569263C6BA}" destId="{4EE2E31F-AE9E-4FC4-B938-DD1CA40DE03F}" srcOrd="1" destOrd="0" presId="urn:microsoft.com/office/officeart/2005/8/layout/orgChart1"/>
    <dgm:cxn modelId="{FAA99F79-4E92-4083-B123-6BC02CB361B6}" type="presParOf" srcId="{7DF9EE6B-DC1B-4D1E-B5E1-A830070E99F9}" destId="{A4B6FBE7-B701-4B67-802A-93431785FAE9}" srcOrd="1" destOrd="0" presId="urn:microsoft.com/office/officeart/2005/8/layout/orgChart1"/>
    <dgm:cxn modelId="{D5C4EDA0-377F-45C3-8A73-842981EE8E73}" type="presParOf" srcId="{A4B6FBE7-B701-4B67-802A-93431785FAE9}" destId="{64746DDA-9BA4-4D4A-9F19-3F81A809CA82}" srcOrd="0" destOrd="0" presId="urn:microsoft.com/office/officeart/2005/8/layout/orgChart1"/>
    <dgm:cxn modelId="{3529D0BF-5ABE-47DB-8AF7-6D34081EC970}" type="presParOf" srcId="{A4B6FBE7-B701-4B67-802A-93431785FAE9}" destId="{54F4AA3D-C201-49E5-B22E-9405A3600C6E}" srcOrd="1" destOrd="0" presId="urn:microsoft.com/office/officeart/2005/8/layout/orgChart1"/>
    <dgm:cxn modelId="{9956291F-FF76-42FC-B7A0-DD04B634EDB5}" type="presParOf" srcId="{54F4AA3D-C201-49E5-B22E-9405A3600C6E}" destId="{51E114B8-193B-42A4-8986-9418C233A327}" srcOrd="0" destOrd="0" presId="urn:microsoft.com/office/officeart/2005/8/layout/orgChart1"/>
    <dgm:cxn modelId="{DA8740F6-9222-4C00-8F08-872A547896F3}" type="presParOf" srcId="{51E114B8-193B-42A4-8986-9418C233A327}" destId="{7CB1A8DA-E4D9-48D5-946D-7D655D00310B}" srcOrd="0" destOrd="0" presId="urn:microsoft.com/office/officeart/2005/8/layout/orgChart1"/>
    <dgm:cxn modelId="{F9807F43-C93F-4E47-8258-D086B9313AF5}" type="presParOf" srcId="{51E114B8-193B-42A4-8986-9418C233A327}" destId="{9C8A86D7-C706-4FB6-A092-1CB6C0E1A12B}" srcOrd="1" destOrd="0" presId="urn:microsoft.com/office/officeart/2005/8/layout/orgChart1"/>
    <dgm:cxn modelId="{E7F5C08E-AA52-4338-BA48-75F4939E9083}" type="presParOf" srcId="{54F4AA3D-C201-49E5-B22E-9405A3600C6E}" destId="{AAA96A9F-16D2-478B-819E-71D1FEB627F6}" srcOrd="1" destOrd="0" presId="urn:microsoft.com/office/officeart/2005/8/layout/orgChart1"/>
    <dgm:cxn modelId="{D43BD5ED-D540-4363-8CBA-42A89B5A97CB}" type="presParOf" srcId="{54F4AA3D-C201-49E5-B22E-9405A3600C6E}" destId="{8800D219-A381-4FF4-8279-F406E29AD4C1}" srcOrd="2" destOrd="0" presId="urn:microsoft.com/office/officeart/2005/8/layout/orgChart1"/>
    <dgm:cxn modelId="{65419462-23C2-44F6-93FE-37359A62CBAD}" type="presParOf" srcId="{A4B6FBE7-B701-4B67-802A-93431785FAE9}" destId="{E9747454-1A04-4415-9946-2C8D25D72AF6}" srcOrd="2" destOrd="0" presId="urn:microsoft.com/office/officeart/2005/8/layout/orgChart1"/>
    <dgm:cxn modelId="{B70A26C3-CC18-4F7D-B6C0-0D05951A35B9}" type="presParOf" srcId="{A4B6FBE7-B701-4B67-802A-93431785FAE9}" destId="{1F1545EE-7171-4AEA-88FF-78066DC8A099}" srcOrd="3" destOrd="0" presId="urn:microsoft.com/office/officeart/2005/8/layout/orgChart1"/>
    <dgm:cxn modelId="{720EBFD4-F062-4444-A0F7-244AA4E3B579}" type="presParOf" srcId="{1F1545EE-7171-4AEA-88FF-78066DC8A099}" destId="{83A33904-647F-4169-98EB-C998540B642C}" srcOrd="0" destOrd="0" presId="urn:microsoft.com/office/officeart/2005/8/layout/orgChart1"/>
    <dgm:cxn modelId="{A89718AB-D6D8-408B-A5D1-104DD55AD1DB}" type="presParOf" srcId="{83A33904-647F-4169-98EB-C998540B642C}" destId="{787D7592-C060-46FE-841C-899376B07F82}" srcOrd="0" destOrd="0" presId="urn:microsoft.com/office/officeart/2005/8/layout/orgChart1"/>
    <dgm:cxn modelId="{4101687E-F924-451A-AE34-BB8FB39AFB8B}" type="presParOf" srcId="{83A33904-647F-4169-98EB-C998540B642C}" destId="{7AB58FFB-A548-4EF5-A6EB-D2199C1AC0A9}" srcOrd="1" destOrd="0" presId="urn:microsoft.com/office/officeart/2005/8/layout/orgChart1"/>
    <dgm:cxn modelId="{6F7147CA-BD91-4AC7-9566-102605D41B5E}" type="presParOf" srcId="{1F1545EE-7171-4AEA-88FF-78066DC8A099}" destId="{5DD94581-BBE4-4B66-878B-8040300FF7D3}" srcOrd="1" destOrd="0" presId="urn:microsoft.com/office/officeart/2005/8/layout/orgChart1"/>
    <dgm:cxn modelId="{96E6D508-306E-4E50-9962-5C82D1564E6F}" type="presParOf" srcId="{1F1545EE-7171-4AEA-88FF-78066DC8A099}" destId="{5A43AF81-389F-4D2E-BAC7-8EAFF8E64919}" srcOrd="2" destOrd="0" presId="urn:microsoft.com/office/officeart/2005/8/layout/orgChart1"/>
    <dgm:cxn modelId="{C352182B-1332-4BCC-8CD8-89D70073CF82}" type="presParOf" srcId="{A4B6FBE7-B701-4B67-802A-93431785FAE9}" destId="{C543158D-3980-430D-A384-76D44B8D96C4}" srcOrd="4" destOrd="0" presId="urn:microsoft.com/office/officeart/2005/8/layout/orgChart1"/>
    <dgm:cxn modelId="{2E794250-B12C-4629-8553-52331EB4F1B2}" type="presParOf" srcId="{A4B6FBE7-B701-4B67-802A-93431785FAE9}" destId="{2B7B94DF-FDFC-4572-9D6C-9753CDC0B29B}" srcOrd="5" destOrd="0" presId="urn:microsoft.com/office/officeart/2005/8/layout/orgChart1"/>
    <dgm:cxn modelId="{FBD750D6-7303-41CC-9DB8-1833199CF3E6}" type="presParOf" srcId="{2B7B94DF-FDFC-4572-9D6C-9753CDC0B29B}" destId="{6F82B5BA-4DBE-4827-9AEF-5312A75E6CFC}" srcOrd="0" destOrd="0" presId="urn:microsoft.com/office/officeart/2005/8/layout/orgChart1"/>
    <dgm:cxn modelId="{A636D1EB-B705-4E0E-B170-78A2593F52BC}" type="presParOf" srcId="{6F82B5BA-4DBE-4827-9AEF-5312A75E6CFC}" destId="{5D4275E7-1DDD-4041-B6A5-4A2D33BED9F0}" srcOrd="0" destOrd="0" presId="urn:microsoft.com/office/officeart/2005/8/layout/orgChart1"/>
    <dgm:cxn modelId="{96649BBD-4591-4892-9072-28D9BA8DF7D4}" type="presParOf" srcId="{6F82B5BA-4DBE-4827-9AEF-5312A75E6CFC}" destId="{A44E655F-FD1D-463B-8517-9098360FB7F0}" srcOrd="1" destOrd="0" presId="urn:microsoft.com/office/officeart/2005/8/layout/orgChart1"/>
    <dgm:cxn modelId="{8A89576A-FE45-4DA1-A420-53512B6DA05C}" type="presParOf" srcId="{2B7B94DF-FDFC-4572-9D6C-9753CDC0B29B}" destId="{F3993530-BC9F-49E5-9890-51E9D259584F}" srcOrd="1" destOrd="0" presId="urn:microsoft.com/office/officeart/2005/8/layout/orgChart1"/>
    <dgm:cxn modelId="{75CCA905-7C60-42BE-8566-0C36012E8EFF}" type="presParOf" srcId="{2B7B94DF-FDFC-4572-9D6C-9753CDC0B29B}" destId="{FBF67B06-A80B-475A-BA63-FE0A0E26E3E9}" srcOrd="2" destOrd="0" presId="urn:microsoft.com/office/officeart/2005/8/layout/orgChart1"/>
    <dgm:cxn modelId="{D42AAC07-D5E9-4C88-87EC-B7E6DDBDAF09}" type="presParOf" srcId="{A4B6FBE7-B701-4B67-802A-93431785FAE9}" destId="{7743E56D-4762-448A-9A91-6899766FF59C}" srcOrd="6" destOrd="0" presId="urn:microsoft.com/office/officeart/2005/8/layout/orgChart1"/>
    <dgm:cxn modelId="{06B9B3E9-5A7D-4297-BF94-9B2C186809CD}" type="presParOf" srcId="{A4B6FBE7-B701-4B67-802A-93431785FAE9}" destId="{E0A08645-8C31-4F88-80D5-0409A3504F30}" srcOrd="7" destOrd="0" presId="urn:microsoft.com/office/officeart/2005/8/layout/orgChart1"/>
    <dgm:cxn modelId="{B9A5A16D-4C8B-4C23-8700-A076DA0B4238}" type="presParOf" srcId="{E0A08645-8C31-4F88-80D5-0409A3504F30}" destId="{F03AA302-1F5E-495A-8CB8-1F02247CC231}" srcOrd="0" destOrd="0" presId="urn:microsoft.com/office/officeart/2005/8/layout/orgChart1"/>
    <dgm:cxn modelId="{B0690986-CD30-4E93-8B87-4502CAD01A00}" type="presParOf" srcId="{F03AA302-1F5E-495A-8CB8-1F02247CC231}" destId="{08D5027A-98A2-41D9-A25B-D422A483B3D4}" srcOrd="0" destOrd="0" presId="urn:microsoft.com/office/officeart/2005/8/layout/orgChart1"/>
    <dgm:cxn modelId="{0B2B9094-CAE6-4489-9869-06C56BA2CE19}" type="presParOf" srcId="{F03AA302-1F5E-495A-8CB8-1F02247CC231}" destId="{B2297A3C-7A3E-4EED-AC93-8288E10660BB}" srcOrd="1" destOrd="0" presId="urn:microsoft.com/office/officeart/2005/8/layout/orgChart1"/>
    <dgm:cxn modelId="{F8B63080-226C-4F41-BA0F-E672386EB11E}" type="presParOf" srcId="{E0A08645-8C31-4F88-80D5-0409A3504F30}" destId="{FC76CAA7-CDFF-48B4-AB30-4F25F313BF80}" srcOrd="1" destOrd="0" presId="urn:microsoft.com/office/officeart/2005/8/layout/orgChart1"/>
    <dgm:cxn modelId="{2805F229-1430-4275-9A85-CD6D709E50B2}" type="presParOf" srcId="{E0A08645-8C31-4F88-80D5-0409A3504F30}" destId="{CA3E8B5E-A989-4483-B86C-4C15473254DB}" srcOrd="2" destOrd="0" presId="urn:microsoft.com/office/officeart/2005/8/layout/orgChart1"/>
    <dgm:cxn modelId="{D12E289D-87E9-4779-831F-B60E808BB943}" type="presParOf" srcId="{7DF9EE6B-DC1B-4D1E-B5E1-A830070E99F9}" destId="{9BFD407E-5EDA-460E-AAD4-3EBE4933CE11}" srcOrd="2" destOrd="0" presId="urn:microsoft.com/office/officeart/2005/8/layout/orgChart1"/>
    <dgm:cxn modelId="{0CA7246D-FAAC-4948-AF60-C08ABAF64186}" type="presParOf" srcId="{949FB98A-A2F7-4333-A738-890744047262}" destId="{910ECDEE-9DC9-4C67-B44B-E82FE5130F1D}" srcOrd="4" destOrd="0" presId="urn:microsoft.com/office/officeart/2005/8/layout/orgChart1"/>
    <dgm:cxn modelId="{0B8FF1A6-7D67-42FA-9854-A90D08CB2FBA}" type="presParOf" srcId="{949FB98A-A2F7-4333-A738-890744047262}" destId="{AA85D489-C231-4A0D-8B92-77E1D1F56290}" srcOrd="5" destOrd="0" presId="urn:microsoft.com/office/officeart/2005/8/layout/orgChart1"/>
    <dgm:cxn modelId="{D8BB0612-9860-473B-9D10-D4E7C442A852}" type="presParOf" srcId="{AA85D489-C231-4A0D-8B92-77E1D1F56290}" destId="{EF2D88E2-87BD-433C-B657-5FC2747740CC}" srcOrd="0" destOrd="0" presId="urn:microsoft.com/office/officeart/2005/8/layout/orgChart1"/>
    <dgm:cxn modelId="{2662E160-8DAB-416A-8149-0A4F6C9ED811}" type="presParOf" srcId="{EF2D88E2-87BD-433C-B657-5FC2747740CC}" destId="{9F74C05D-795A-4A6D-AD9B-BCB516320ABF}" srcOrd="0" destOrd="0" presId="urn:microsoft.com/office/officeart/2005/8/layout/orgChart1"/>
    <dgm:cxn modelId="{BAAB9F04-19A0-4CC9-AC6A-430F22501C8E}" type="presParOf" srcId="{EF2D88E2-87BD-433C-B657-5FC2747740CC}" destId="{C6A957E2-D503-47A7-8CDB-C7577A0BA2AE}" srcOrd="1" destOrd="0" presId="urn:microsoft.com/office/officeart/2005/8/layout/orgChart1"/>
    <dgm:cxn modelId="{0557005D-1057-4F49-8AD7-B7FE2AA18A5F}" type="presParOf" srcId="{AA85D489-C231-4A0D-8B92-77E1D1F56290}" destId="{7BCAD00A-0C0F-4A55-9D8B-A60D9628A284}" srcOrd="1" destOrd="0" presId="urn:microsoft.com/office/officeart/2005/8/layout/orgChart1"/>
    <dgm:cxn modelId="{87B4330B-174D-4E2A-9A4D-F35DC48856D8}" type="presParOf" srcId="{7BCAD00A-0C0F-4A55-9D8B-A60D9628A284}" destId="{778FE6CB-7FF8-4CEE-AD55-7C741090AFFD}" srcOrd="0" destOrd="0" presId="urn:microsoft.com/office/officeart/2005/8/layout/orgChart1"/>
    <dgm:cxn modelId="{B1B8B173-557B-44CC-8BBF-BA52E07B7C7B}" type="presParOf" srcId="{7BCAD00A-0C0F-4A55-9D8B-A60D9628A284}" destId="{DE4682E4-398E-458C-B52C-EDC03D2B0822}" srcOrd="1" destOrd="0" presId="urn:microsoft.com/office/officeart/2005/8/layout/orgChart1"/>
    <dgm:cxn modelId="{6AEE3280-2ED5-4423-926A-433A200B89BB}" type="presParOf" srcId="{DE4682E4-398E-458C-B52C-EDC03D2B0822}" destId="{FCDC1399-D1B1-48AC-96B2-D2FDB35CA4F3}" srcOrd="0" destOrd="0" presId="urn:microsoft.com/office/officeart/2005/8/layout/orgChart1"/>
    <dgm:cxn modelId="{29B4BE55-9C1F-49E1-84BF-7C3C826CBCCC}" type="presParOf" srcId="{FCDC1399-D1B1-48AC-96B2-D2FDB35CA4F3}" destId="{B14D279A-2EE9-4C38-BB08-E3A848A174A9}" srcOrd="0" destOrd="0" presId="urn:microsoft.com/office/officeart/2005/8/layout/orgChart1"/>
    <dgm:cxn modelId="{8CDBDA74-21ED-41AE-AE8F-113C9E855BAB}" type="presParOf" srcId="{FCDC1399-D1B1-48AC-96B2-D2FDB35CA4F3}" destId="{65C637A1-AD69-4342-9991-7D100AE66DCA}" srcOrd="1" destOrd="0" presId="urn:microsoft.com/office/officeart/2005/8/layout/orgChart1"/>
    <dgm:cxn modelId="{B3402D04-9BC9-4DA5-AACC-6E5E84D8C774}" type="presParOf" srcId="{DE4682E4-398E-458C-B52C-EDC03D2B0822}" destId="{137D390C-81B8-4F20-B7FE-7FC23FDC4C36}" srcOrd="1" destOrd="0" presId="urn:microsoft.com/office/officeart/2005/8/layout/orgChart1"/>
    <dgm:cxn modelId="{88547644-F0A5-45AD-9582-32ED245E1F39}" type="presParOf" srcId="{137D390C-81B8-4F20-B7FE-7FC23FDC4C36}" destId="{AF44E3AC-B687-4347-9359-A5919C90BF24}" srcOrd="0" destOrd="0" presId="urn:microsoft.com/office/officeart/2005/8/layout/orgChart1"/>
    <dgm:cxn modelId="{6B8EA9A0-6DB0-4B4E-AEB6-18D9320C4456}" type="presParOf" srcId="{137D390C-81B8-4F20-B7FE-7FC23FDC4C36}" destId="{D09C545F-267F-49DF-A1A9-370E89B9462F}" srcOrd="1" destOrd="0" presId="urn:microsoft.com/office/officeart/2005/8/layout/orgChart1"/>
    <dgm:cxn modelId="{54ED888A-B64C-4A94-9EB8-40E931476490}" type="presParOf" srcId="{D09C545F-267F-49DF-A1A9-370E89B9462F}" destId="{869B8FFE-BCA3-487C-97DC-D7D8691B7373}" srcOrd="0" destOrd="0" presId="urn:microsoft.com/office/officeart/2005/8/layout/orgChart1"/>
    <dgm:cxn modelId="{E97AA770-88DE-4E91-85A7-D620D5C1ACFF}" type="presParOf" srcId="{869B8FFE-BCA3-487C-97DC-D7D8691B7373}" destId="{99384343-58C1-49C5-BF73-F6B5C76CF037}" srcOrd="0" destOrd="0" presId="urn:microsoft.com/office/officeart/2005/8/layout/orgChart1"/>
    <dgm:cxn modelId="{C8085253-4F33-45E1-9BEF-170ECB3C7FAC}" type="presParOf" srcId="{869B8FFE-BCA3-487C-97DC-D7D8691B7373}" destId="{EE60031E-25B9-4107-A7D1-12F328DB4F2B}" srcOrd="1" destOrd="0" presId="urn:microsoft.com/office/officeart/2005/8/layout/orgChart1"/>
    <dgm:cxn modelId="{81B41068-F7E7-4662-A36A-2569A7941B51}" type="presParOf" srcId="{D09C545F-267F-49DF-A1A9-370E89B9462F}" destId="{0026D26D-03B6-4970-8EC4-74D45836CF44}" srcOrd="1" destOrd="0" presId="urn:microsoft.com/office/officeart/2005/8/layout/orgChart1"/>
    <dgm:cxn modelId="{5C16FDCA-68C6-431F-9442-67795090912C}" type="presParOf" srcId="{0026D26D-03B6-4970-8EC4-74D45836CF44}" destId="{BD286B92-64D9-4695-846A-BB66A61AE4C1}" srcOrd="0" destOrd="0" presId="urn:microsoft.com/office/officeart/2005/8/layout/orgChart1"/>
    <dgm:cxn modelId="{A37B7A9F-7C90-4FBC-8BC3-73644CCD9EE3}" type="presParOf" srcId="{0026D26D-03B6-4970-8EC4-74D45836CF44}" destId="{BF24DC5E-4CD4-43ED-B0B8-326652EC5FC9}" srcOrd="1" destOrd="0" presId="urn:microsoft.com/office/officeart/2005/8/layout/orgChart1"/>
    <dgm:cxn modelId="{34E66889-EDFE-40DE-A581-6C2DBA1AF7AE}" type="presParOf" srcId="{BF24DC5E-4CD4-43ED-B0B8-326652EC5FC9}" destId="{4D862CC6-6F5A-42AB-B9DB-401A201D9BFF}" srcOrd="0" destOrd="0" presId="urn:microsoft.com/office/officeart/2005/8/layout/orgChart1"/>
    <dgm:cxn modelId="{9A2D2261-E3A5-40C7-8871-56A2294B87B9}" type="presParOf" srcId="{4D862CC6-6F5A-42AB-B9DB-401A201D9BFF}" destId="{BF458C22-9F75-41D2-AB4F-0778B2B5B40B}" srcOrd="0" destOrd="0" presId="urn:microsoft.com/office/officeart/2005/8/layout/orgChart1"/>
    <dgm:cxn modelId="{9DC14B7F-B23F-49F9-85BE-487C269FCC9C}" type="presParOf" srcId="{4D862CC6-6F5A-42AB-B9DB-401A201D9BFF}" destId="{B0108ABA-9E23-4C64-A775-FA4D0416F932}" srcOrd="1" destOrd="0" presId="urn:microsoft.com/office/officeart/2005/8/layout/orgChart1"/>
    <dgm:cxn modelId="{7EF5FC4D-9195-497F-81E9-FA78231896DA}" type="presParOf" srcId="{BF24DC5E-4CD4-43ED-B0B8-326652EC5FC9}" destId="{8AAB11A3-D626-4A2C-B3BE-4CB0C6B28354}" srcOrd="1" destOrd="0" presId="urn:microsoft.com/office/officeart/2005/8/layout/orgChart1"/>
    <dgm:cxn modelId="{F56F1AF1-0F6B-4D34-8961-B603CF697DCB}" type="presParOf" srcId="{BF24DC5E-4CD4-43ED-B0B8-326652EC5FC9}" destId="{80AD32BE-81FF-4ACD-8EC8-7E28D81BA95B}" srcOrd="2" destOrd="0" presId="urn:microsoft.com/office/officeart/2005/8/layout/orgChart1"/>
    <dgm:cxn modelId="{2B83B541-1809-4365-817F-DAB97E679F09}" type="presParOf" srcId="{0026D26D-03B6-4970-8EC4-74D45836CF44}" destId="{3789F431-D3BE-4192-AF43-CCF9549511CA}" srcOrd="2" destOrd="0" presId="urn:microsoft.com/office/officeart/2005/8/layout/orgChart1"/>
    <dgm:cxn modelId="{6C9C6189-526E-4BAB-BD20-DEB9A757587C}" type="presParOf" srcId="{0026D26D-03B6-4970-8EC4-74D45836CF44}" destId="{F54049D2-5A0A-4E75-B5B5-4663F9FF2019}" srcOrd="3" destOrd="0" presId="urn:microsoft.com/office/officeart/2005/8/layout/orgChart1"/>
    <dgm:cxn modelId="{E7235B91-D6BC-40CC-8E30-964450B2F42D}" type="presParOf" srcId="{F54049D2-5A0A-4E75-B5B5-4663F9FF2019}" destId="{9D7AF973-370F-4EEF-AB8A-F40132477FC6}" srcOrd="0" destOrd="0" presId="urn:microsoft.com/office/officeart/2005/8/layout/orgChart1"/>
    <dgm:cxn modelId="{4F54B493-3454-4FE0-889A-6FAB78A5C69E}" type="presParOf" srcId="{9D7AF973-370F-4EEF-AB8A-F40132477FC6}" destId="{46546686-44A6-4337-B36B-572271EDCA5F}" srcOrd="0" destOrd="0" presId="urn:microsoft.com/office/officeart/2005/8/layout/orgChart1"/>
    <dgm:cxn modelId="{F8DE52C4-0782-45D7-BF8F-C4CFEB201521}" type="presParOf" srcId="{9D7AF973-370F-4EEF-AB8A-F40132477FC6}" destId="{29A9CB9F-5E1D-4635-AA17-6020DB910BA3}" srcOrd="1" destOrd="0" presId="urn:microsoft.com/office/officeart/2005/8/layout/orgChart1"/>
    <dgm:cxn modelId="{D8F20485-B11E-4CC7-95A2-3FBBFAA34D38}" type="presParOf" srcId="{F54049D2-5A0A-4E75-B5B5-4663F9FF2019}" destId="{7C421FBD-9544-4292-8A9A-FA9F0B6CD135}" srcOrd="1" destOrd="0" presId="urn:microsoft.com/office/officeart/2005/8/layout/orgChart1"/>
    <dgm:cxn modelId="{D66EF6DA-E780-4164-8792-A8D9BA0856D3}" type="presParOf" srcId="{F54049D2-5A0A-4E75-B5B5-4663F9FF2019}" destId="{9A42DC26-183A-4C95-A1CF-49167D261787}" srcOrd="2" destOrd="0" presId="urn:microsoft.com/office/officeart/2005/8/layout/orgChart1"/>
    <dgm:cxn modelId="{1FC30369-9EEE-454B-B279-A2303B19F100}" type="presParOf" srcId="{0026D26D-03B6-4970-8EC4-74D45836CF44}" destId="{57A5E5F3-5A1F-4B65-BCE3-96554E47F66C}" srcOrd="4" destOrd="0" presId="urn:microsoft.com/office/officeart/2005/8/layout/orgChart1"/>
    <dgm:cxn modelId="{3D399C80-13E0-4C1A-912F-2C7D249D477A}" type="presParOf" srcId="{0026D26D-03B6-4970-8EC4-74D45836CF44}" destId="{E3963B34-8F5A-48E6-A252-8C95B5458DDC}" srcOrd="5" destOrd="0" presId="urn:microsoft.com/office/officeart/2005/8/layout/orgChart1"/>
    <dgm:cxn modelId="{06958215-E974-4A43-8E3D-EFAF7FC530F2}" type="presParOf" srcId="{E3963B34-8F5A-48E6-A252-8C95B5458DDC}" destId="{11AC7466-5790-4298-BCF4-605C2056AAC8}" srcOrd="0" destOrd="0" presId="urn:microsoft.com/office/officeart/2005/8/layout/orgChart1"/>
    <dgm:cxn modelId="{381FDCC3-4EE7-4B58-A394-24874EA2CC29}" type="presParOf" srcId="{11AC7466-5790-4298-BCF4-605C2056AAC8}" destId="{CF0448EA-89C9-4DA7-B80B-7A1BEE4FBFA2}" srcOrd="0" destOrd="0" presId="urn:microsoft.com/office/officeart/2005/8/layout/orgChart1"/>
    <dgm:cxn modelId="{49E65711-B80F-424C-91FB-EC8261416382}" type="presParOf" srcId="{11AC7466-5790-4298-BCF4-605C2056AAC8}" destId="{3C13408F-4180-4D98-93F3-8D7CE5DD93FD}" srcOrd="1" destOrd="0" presId="urn:microsoft.com/office/officeart/2005/8/layout/orgChart1"/>
    <dgm:cxn modelId="{8F3B24C9-434F-4AE8-A1AF-4FE02B172B24}" type="presParOf" srcId="{E3963B34-8F5A-48E6-A252-8C95B5458DDC}" destId="{DB4609A1-7BB5-40D9-8270-043FE8F7E0D5}" srcOrd="1" destOrd="0" presId="urn:microsoft.com/office/officeart/2005/8/layout/orgChart1"/>
    <dgm:cxn modelId="{DBBEDAD6-FCD7-4170-AE42-D970F61EB729}" type="presParOf" srcId="{E3963B34-8F5A-48E6-A252-8C95B5458DDC}" destId="{C2144825-3C2C-4CA8-8A97-0E577BA76660}" srcOrd="2" destOrd="0" presId="urn:microsoft.com/office/officeart/2005/8/layout/orgChart1"/>
    <dgm:cxn modelId="{DB7D1E17-036E-45D8-9E51-9A1A7CF7956E}" type="presParOf" srcId="{D09C545F-267F-49DF-A1A9-370E89B9462F}" destId="{56FB4B80-C169-42B3-BCBE-AAC5EAAD8711}" srcOrd="2" destOrd="0" presId="urn:microsoft.com/office/officeart/2005/8/layout/orgChart1"/>
    <dgm:cxn modelId="{AC30A8BD-A9FC-434F-83A8-860849EDC7FE}" type="presParOf" srcId="{137D390C-81B8-4F20-B7FE-7FC23FDC4C36}" destId="{A66D8451-CF02-4BD7-A0A7-1033B7C24191}" srcOrd="2" destOrd="0" presId="urn:microsoft.com/office/officeart/2005/8/layout/orgChart1"/>
    <dgm:cxn modelId="{7E0BDAB9-9C1F-4FB0-B627-F0E6CF72EA3C}" type="presParOf" srcId="{137D390C-81B8-4F20-B7FE-7FC23FDC4C36}" destId="{BC123D85-F44C-4295-B91B-21B662279715}" srcOrd="3" destOrd="0" presId="urn:microsoft.com/office/officeart/2005/8/layout/orgChart1"/>
    <dgm:cxn modelId="{098F726E-AE0E-4F04-8B1C-F9408969E36D}" type="presParOf" srcId="{BC123D85-F44C-4295-B91B-21B662279715}" destId="{9746ED08-7335-491E-B494-76EB4AD40D02}" srcOrd="0" destOrd="0" presId="urn:microsoft.com/office/officeart/2005/8/layout/orgChart1"/>
    <dgm:cxn modelId="{ED64B2D6-EF92-462D-A38D-4BED47354BB0}" type="presParOf" srcId="{9746ED08-7335-491E-B494-76EB4AD40D02}" destId="{78556E91-42EC-43E1-978E-658D4DDDD109}" srcOrd="0" destOrd="0" presId="urn:microsoft.com/office/officeart/2005/8/layout/orgChart1"/>
    <dgm:cxn modelId="{45F66F1C-F5D1-45B9-8237-E3044E6EFDA8}" type="presParOf" srcId="{9746ED08-7335-491E-B494-76EB4AD40D02}" destId="{606E79EA-2C65-434A-80DC-F30777D77F88}" srcOrd="1" destOrd="0" presId="urn:microsoft.com/office/officeart/2005/8/layout/orgChart1"/>
    <dgm:cxn modelId="{BCCCBB16-58ED-49D6-886D-E733707F296C}" type="presParOf" srcId="{BC123D85-F44C-4295-B91B-21B662279715}" destId="{4C9F5376-2B76-43D0-B861-E1968D0EB66F}" srcOrd="1" destOrd="0" presId="urn:microsoft.com/office/officeart/2005/8/layout/orgChart1"/>
    <dgm:cxn modelId="{03752975-7EFF-4E0A-B290-39A3B2FE892F}" type="presParOf" srcId="{4C9F5376-2B76-43D0-B861-E1968D0EB66F}" destId="{9A11771F-7123-429D-8558-F258DF2EEEC2}" srcOrd="0" destOrd="0" presId="urn:microsoft.com/office/officeart/2005/8/layout/orgChart1"/>
    <dgm:cxn modelId="{63D3FB7A-5A16-4DAB-9951-20E1B4AA5DBE}" type="presParOf" srcId="{4C9F5376-2B76-43D0-B861-E1968D0EB66F}" destId="{85860204-7248-4A15-B996-BE66FBF7291A}" srcOrd="1" destOrd="0" presId="urn:microsoft.com/office/officeart/2005/8/layout/orgChart1"/>
    <dgm:cxn modelId="{AEDFFDAE-D254-43AA-A58A-3902CF529C96}" type="presParOf" srcId="{85860204-7248-4A15-B996-BE66FBF7291A}" destId="{ADF44E40-30A4-4B58-B5CA-1292242302B8}" srcOrd="0" destOrd="0" presId="urn:microsoft.com/office/officeart/2005/8/layout/orgChart1"/>
    <dgm:cxn modelId="{FD234055-A811-4BE3-88F0-2EA13DE2E1A9}" type="presParOf" srcId="{ADF44E40-30A4-4B58-B5CA-1292242302B8}" destId="{0696EA4D-BDC7-4143-984E-E4653F1FF589}" srcOrd="0" destOrd="0" presId="urn:microsoft.com/office/officeart/2005/8/layout/orgChart1"/>
    <dgm:cxn modelId="{8EE59739-8E1E-4077-AA34-7BA70C4B611D}" type="presParOf" srcId="{ADF44E40-30A4-4B58-B5CA-1292242302B8}" destId="{7B1D38F7-1B50-40C5-B26B-5FC6B24706AA}" srcOrd="1" destOrd="0" presId="urn:microsoft.com/office/officeart/2005/8/layout/orgChart1"/>
    <dgm:cxn modelId="{0AED7778-A3AA-4617-B749-1CD9718C698E}" type="presParOf" srcId="{85860204-7248-4A15-B996-BE66FBF7291A}" destId="{F5189EBD-6E00-4535-B6FE-A31FBD70F8EE}" srcOrd="1" destOrd="0" presId="urn:microsoft.com/office/officeart/2005/8/layout/orgChart1"/>
    <dgm:cxn modelId="{944A956C-478A-4CC2-BEF5-0E4EE4804C13}" type="presParOf" srcId="{85860204-7248-4A15-B996-BE66FBF7291A}" destId="{D0872D96-AB55-420D-846C-61BEE0E52E71}" srcOrd="2" destOrd="0" presId="urn:microsoft.com/office/officeart/2005/8/layout/orgChart1"/>
    <dgm:cxn modelId="{68AD87F4-ABB5-4EB5-B392-B26BAE99A70B}" type="presParOf" srcId="{4C9F5376-2B76-43D0-B861-E1968D0EB66F}" destId="{A2B2F150-3A49-411F-B5D3-AE477FF6EDA9}" srcOrd="2" destOrd="0" presId="urn:microsoft.com/office/officeart/2005/8/layout/orgChart1"/>
    <dgm:cxn modelId="{EBB49685-2B93-492E-8C1C-53349A0EA255}" type="presParOf" srcId="{4C9F5376-2B76-43D0-B861-E1968D0EB66F}" destId="{147B8D8D-BD16-4CE7-9E56-F4ECFC84E554}" srcOrd="3" destOrd="0" presId="urn:microsoft.com/office/officeart/2005/8/layout/orgChart1"/>
    <dgm:cxn modelId="{076518E0-049B-4A05-AF5A-B057EB167348}" type="presParOf" srcId="{147B8D8D-BD16-4CE7-9E56-F4ECFC84E554}" destId="{8D61D3F7-84F4-4B2F-8F2E-20BEBADBBEC9}" srcOrd="0" destOrd="0" presId="urn:microsoft.com/office/officeart/2005/8/layout/orgChart1"/>
    <dgm:cxn modelId="{59BB51F6-9D27-497C-93CC-D60C4C704095}" type="presParOf" srcId="{8D61D3F7-84F4-4B2F-8F2E-20BEBADBBEC9}" destId="{F0A31EE9-0D84-4B58-A5FB-9EEBE96B3F18}" srcOrd="0" destOrd="0" presId="urn:microsoft.com/office/officeart/2005/8/layout/orgChart1"/>
    <dgm:cxn modelId="{98515254-1282-48D5-BE26-8C8B3A2A6E75}" type="presParOf" srcId="{8D61D3F7-84F4-4B2F-8F2E-20BEBADBBEC9}" destId="{9FD37CD4-3247-4FB2-BFAC-5564929EF05C}" srcOrd="1" destOrd="0" presId="urn:microsoft.com/office/officeart/2005/8/layout/orgChart1"/>
    <dgm:cxn modelId="{3C35800E-E440-4BBC-ABB7-E082BA15861E}" type="presParOf" srcId="{147B8D8D-BD16-4CE7-9E56-F4ECFC84E554}" destId="{F793857A-6F77-470A-AD9E-F195F115A929}" srcOrd="1" destOrd="0" presId="urn:microsoft.com/office/officeart/2005/8/layout/orgChart1"/>
    <dgm:cxn modelId="{4B8A4A8A-6030-40A4-8290-B49064631528}" type="presParOf" srcId="{147B8D8D-BD16-4CE7-9E56-F4ECFC84E554}" destId="{55C76D2E-AB4A-4EC8-B915-6FA962CB6C9C}" srcOrd="2" destOrd="0" presId="urn:microsoft.com/office/officeart/2005/8/layout/orgChart1"/>
    <dgm:cxn modelId="{DCBD8AF6-82B1-4269-BCD9-1D481A34A108}" type="presParOf" srcId="{4C9F5376-2B76-43D0-B861-E1968D0EB66F}" destId="{610AECA4-B1FF-469D-AC28-D762F69B2F2E}" srcOrd="4" destOrd="0" presId="urn:microsoft.com/office/officeart/2005/8/layout/orgChart1"/>
    <dgm:cxn modelId="{B5F142B0-6F51-407B-984E-632285579350}" type="presParOf" srcId="{4C9F5376-2B76-43D0-B861-E1968D0EB66F}" destId="{CD211810-CC48-4713-8D4E-A26820B06C17}" srcOrd="5" destOrd="0" presId="urn:microsoft.com/office/officeart/2005/8/layout/orgChart1"/>
    <dgm:cxn modelId="{264A5A86-3030-4DAD-9DA7-B999642EA062}" type="presParOf" srcId="{CD211810-CC48-4713-8D4E-A26820B06C17}" destId="{44D238E0-B58B-4416-9B93-288B30D53466}" srcOrd="0" destOrd="0" presId="urn:microsoft.com/office/officeart/2005/8/layout/orgChart1"/>
    <dgm:cxn modelId="{91710A38-BF41-4445-9F17-599C346C5EFF}" type="presParOf" srcId="{44D238E0-B58B-4416-9B93-288B30D53466}" destId="{A24CCB7F-4321-4494-B9BA-D9654648EAB6}" srcOrd="0" destOrd="0" presId="urn:microsoft.com/office/officeart/2005/8/layout/orgChart1"/>
    <dgm:cxn modelId="{62DF6F11-A478-4CDC-BDCA-617C7BA03262}" type="presParOf" srcId="{44D238E0-B58B-4416-9B93-288B30D53466}" destId="{41A55E30-68D7-429F-9163-C763A5F81133}" srcOrd="1" destOrd="0" presId="urn:microsoft.com/office/officeart/2005/8/layout/orgChart1"/>
    <dgm:cxn modelId="{E10EC543-D1A2-4237-9B30-181E13B4A1A0}" type="presParOf" srcId="{CD211810-CC48-4713-8D4E-A26820B06C17}" destId="{057CAF85-FC8F-4E0D-8B95-EE023BBDF7E1}" srcOrd="1" destOrd="0" presId="urn:microsoft.com/office/officeart/2005/8/layout/orgChart1"/>
    <dgm:cxn modelId="{0AA3581E-86D1-4F80-87CF-B3409B9DB968}" type="presParOf" srcId="{CD211810-CC48-4713-8D4E-A26820B06C17}" destId="{49885DEC-9B33-46E4-B09E-9220FFF932E5}" srcOrd="2" destOrd="0" presId="urn:microsoft.com/office/officeart/2005/8/layout/orgChart1"/>
    <dgm:cxn modelId="{12364793-20A1-4C68-87E8-B267ABFCAC2D}" type="presParOf" srcId="{4C9F5376-2B76-43D0-B861-E1968D0EB66F}" destId="{969BF57F-B9F1-4415-88F3-AE3451C18182}" srcOrd="6" destOrd="0" presId="urn:microsoft.com/office/officeart/2005/8/layout/orgChart1"/>
    <dgm:cxn modelId="{2F9081A2-44FC-431C-87FB-BEB7B54C658B}" type="presParOf" srcId="{4C9F5376-2B76-43D0-B861-E1968D0EB66F}" destId="{69A00C9B-18CB-4AD8-8D9C-6434CEA45694}" srcOrd="7" destOrd="0" presId="urn:microsoft.com/office/officeart/2005/8/layout/orgChart1"/>
    <dgm:cxn modelId="{1E473293-87F7-4B90-9CC2-1356AB1E2A2B}" type="presParOf" srcId="{69A00C9B-18CB-4AD8-8D9C-6434CEA45694}" destId="{19BB3DD4-9F7B-4917-8069-A97509791125}" srcOrd="0" destOrd="0" presId="urn:microsoft.com/office/officeart/2005/8/layout/orgChart1"/>
    <dgm:cxn modelId="{C856555C-4490-42F0-B3FE-E0A983A2BD96}" type="presParOf" srcId="{19BB3DD4-9F7B-4917-8069-A97509791125}" destId="{FD88D524-6B57-4079-A2B6-9CAB4B9479AA}" srcOrd="0" destOrd="0" presId="urn:microsoft.com/office/officeart/2005/8/layout/orgChart1"/>
    <dgm:cxn modelId="{E0DA97A3-CDC4-49A5-9DC0-A2C39FDA696D}" type="presParOf" srcId="{19BB3DD4-9F7B-4917-8069-A97509791125}" destId="{0E2E5F0D-12BE-4204-8137-F7ACE46ACF19}" srcOrd="1" destOrd="0" presId="urn:microsoft.com/office/officeart/2005/8/layout/orgChart1"/>
    <dgm:cxn modelId="{BE1ADA37-78CE-4DDB-9A27-122966A8151E}" type="presParOf" srcId="{69A00C9B-18CB-4AD8-8D9C-6434CEA45694}" destId="{A87A6427-0F20-49F4-9770-5782B7BF94A1}" srcOrd="1" destOrd="0" presId="urn:microsoft.com/office/officeart/2005/8/layout/orgChart1"/>
    <dgm:cxn modelId="{0887B84E-9A65-43E4-90D3-86036240C363}" type="presParOf" srcId="{69A00C9B-18CB-4AD8-8D9C-6434CEA45694}" destId="{6CA71762-9685-464F-B451-A4EE9EC95A6D}" srcOrd="2" destOrd="0" presId="urn:microsoft.com/office/officeart/2005/8/layout/orgChart1"/>
    <dgm:cxn modelId="{2D5E74AC-AADB-4F03-914A-6E8680100301}" type="presParOf" srcId="{4C9F5376-2B76-43D0-B861-E1968D0EB66F}" destId="{61334895-6D96-448D-BF7A-30B9B66AC9D3}" srcOrd="8" destOrd="0" presId="urn:microsoft.com/office/officeart/2005/8/layout/orgChart1"/>
    <dgm:cxn modelId="{1EC00630-45D4-436C-86E6-84A1A6FE8195}" type="presParOf" srcId="{4C9F5376-2B76-43D0-B861-E1968D0EB66F}" destId="{C5BFA44E-A7D7-4B85-B0E2-59BC7AD4D8F9}" srcOrd="9" destOrd="0" presId="urn:microsoft.com/office/officeart/2005/8/layout/orgChart1"/>
    <dgm:cxn modelId="{E25853A1-8154-47C1-8D50-1AC47AC22CFA}" type="presParOf" srcId="{C5BFA44E-A7D7-4B85-B0E2-59BC7AD4D8F9}" destId="{E6D8BA09-D311-4D02-91B0-8106441D17BA}" srcOrd="0" destOrd="0" presId="urn:microsoft.com/office/officeart/2005/8/layout/orgChart1"/>
    <dgm:cxn modelId="{AA58E3B5-CC01-44AE-A753-BE34283E7E09}" type="presParOf" srcId="{E6D8BA09-D311-4D02-91B0-8106441D17BA}" destId="{DF3BF60F-9C5F-4B29-8C19-C4AEF7B49BC1}" srcOrd="0" destOrd="0" presId="urn:microsoft.com/office/officeart/2005/8/layout/orgChart1"/>
    <dgm:cxn modelId="{8C8A43A4-815C-4E81-B1AB-0FD34FE61AF1}" type="presParOf" srcId="{E6D8BA09-D311-4D02-91B0-8106441D17BA}" destId="{549D9CBE-2475-49D8-8C4D-7BA4C56234FC}" srcOrd="1" destOrd="0" presId="urn:microsoft.com/office/officeart/2005/8/layout/orgChart1"/>
    <dgm:cxn modelId="{370D5904-A84A-44F6-B254-9FC1593133A3}" type="presParOf" srcId="{C5BFA44E-A7D7-4B85-B0E2-59BC7AD4D8F9}" destId="{610506BB-1F8B-4DFD-A9F3-42BEE0125772}" srcOrd="1" destOrd="0" presId="urn:microsoft.com/office/officeart/2005/8/layout/orgChart1"/>
    <dgm:cxn modelId="{9725FB6C-B7CE-4B6D-B884-58215C29B1BB}" type="presParOf" srcId="{C5BFA44E-A7D7-4B85-B0E2-59BC7AD4D8F9}" destId="{6218E98F-F1EF-400A-B5D1-CE71C4062A2E}" srcOrd="2" destOrd="0" presId="urn:microsoft.com/office/officeart/2005/8/layout/orgChart1"/>
    <dgm:cxn modelId="{009FEA95-2B7E-4177-8CDB-A5856B95122D}" type="presParOf" srcId="{BC123D85-F44C-4295-B91B-21B662279715}" destId="{30C813F2-B11E-4353-A194-A898DC3B7383}" srcOrd="2" destOrd="0" presId="urn:microsoft.com/office/officeart/2005/8/layout/orgChart1"/>
    <dgm:cxn modelId="{34C8E0AC-1BAD-4AC4-BE4B-6877F9F9233B}" type="presParOf" srcId="{137D390C-81B8-4F20-B7FE-7FC23FDC4C36}" destId="{274DB5B8-E521-41DA-9E98-689E1F5C07D7}" srcOrd="4" destOrd="0" presId="urn:microsoft.com/office/officeart/2005/8/layout/orgChart1"/>
    <dgm:cxn modelId="{42D16225-D8D6-4C96-A1E0-246AC6B1D00A}" type="presParOf" srcId="{137D390C-81B8-4F20-B7FE-7FC23FDC4C36}" destId="{EF362B4A-EBC1-49D7-81DF-22D702A5BEC6}" srcOrd="5" destOrd="0" presId="urn:microsoft.com/office/officeart/2005/8/layout/orgChart1"/>
    <dgm:cxn modelId="{79A4C151-52DD-48E6-B021-895E11933BFE}" type="presParOf" srcId="{EF362B4A-EBC1-49D7-81DF-22D702A5BEC6}" destId="{10696C1F-AB5D-4D57-91A2-1B0DD1FDB791}" srcOrd="0" destOrd="0" presId="urn:microsoft.com/office/officeart/2005/8/layout/orgChart1"/>
    <dgm:cxn modelId="{46D79441-4585-40FB-B543-232BD6A9FEF6}" type="presParOf" srcId="{10696C1F-AB5D-4D57-91A2-1B0DD1FDB791}" destId="{1C849335-50E5-4414-A615-F49699DB7FD2}" srcOrd="0" destOrd="0" presId="urn:microsoft.com/office/officeart/2005/8/layout/orgChart1"/>
    <dgm:cxn modelId="{69B877AD-7884-4186-94C2-8361C6331308}" type="presParOf" srcId="{10696C1F-AB5D-4D57-91A2-1B0DD1FDB791}" destId="{95925107-44DC-4B69-A320-A040CFD26CB5}" srcOrd="1" destOrd="0" presId="urn:microsoft.com/office/officeart/2005/8/layout/orgChart1"/>
    <dgm:cxn modelId="{3E85E113-47D4-44B1-B5A1-C367BED1F64C}" type="presParOf" srcId="{EF362B4A-EBC1-49D7-81DF-22D702A5BEC6}" destId="{A457088C-6B34-4B1E-AF49-5A53705069EA}" srcOrd="1" destOrd="0" presId="urn:microsoft.com/office/officeart/2005/8/layout/orgChart1"/>
    <dgm:cxn modelId="{745362CD-90A4-487E-BFE7-4A8DB058D90F}" type="presParOf" srcId="{A457088C-6B34-4B1E-AF49-5A53705069EA}" destId="{4F7518DB-5A64-4C4B-AC5D-0356CD0CCE4D}" srcOrd="0" destOrd="0" presId="urn:microsoft.com/office/officeart/2005/8/layout/orgChart1"/>
    <dgm:cxn modelId="{8F06A636-0E3E-40B4-A13E-7BDD3137B1C0}" type="presParOf" srcId="{A457088C-6B34-4B1E-AF49-5A53705069EA}" destId="{8D9A2750-7784-408C-8840-BCD5A7DCE08B}" srcOrd="1" destOrd="0" presId="urn:microsoft.com/office/officeart/2005/8/layout/orgChart1"/>
    <dgm:cxn modelId="{ABB8AA2C-924A-4891-8746-5C6A8C7DAB6A}" type="presParOf" srcId="{8D9A2750-7784-408C-8840-BCD5A7DCE08B}" destId="{D34E6554-4688-441D-BAD7-E95DFCD00CCF}" srcOrd="0" destOrd="0" presId="urn:microsoft.com/office/officeart/2005/8/layout/orgChart1"/>
    <dgm:cxn modelId="{9F4FB202-AE77-42B0-AE60-FB1BFCB5E545}" type="presParOf" srcId="{D34E6554-4688-441D-BAD7-E95DFCD00CCF}" destId="{599FA050-92D0-47AA-B5EB-98254295AF14}" srcOrd="0" destOrd="0" presId="urn:microsoft.com/office/officeart/2005/8/layout/orgChart1"/>
    <dgm:cxn modelId="{032CC31B-F54C-4B6D-9414-EE5A5A1F8E32}" type="presParOf" srcId="{D34E6554-4688-441D-BAD7-E95DFCD00CCF}" destId="{D0506541-1F87-4764-AB55-95DABF99DBAB}" srcOrd="1" destOrd="0" presId="urn:microsoft.com/office/officeart/2005/8/layout/orgChart1"/>
    <dgm:cxn modelId="{B986AFFE-39D6-436A-A8FF-F753EB385C40}" type="presParOf" srcId="{8D9A2750-7784-408C-8840-BCD5A7DCE08B}" destId="{741905EE-3B6B-4321-8B3D-ED7C03CF0A39}" srcOrd="1" destOrd="0" presId="urn:microsoft.com/office/officeart/2005/8/layout/orgChart1"/>
    <dgm:cxn modelId="{146E1842-97CE-4FEB-826D-A11E4C927C18}" type="presParOf" srcId="{8D9A2750-7784-408C-8840-BCD5A7DCE08B}" destId="{B1F066B9-8FE9-476A-A120-2305570402FE}" srcOrd="2" destOrd="0" presId="urn:microsoft.com/office/officeart/2005/8/layout/orgChart1"/>
    <dgm:cxn modelId="{DC4CF036-E513-4594-A199-67DD27CF2249}" type="presParOf" srcId="{A457088C-6B34-4B1E-AF49-5A53705069EA}" destId="{406D6097-66B3-4200-96FC-A9C16D3CF51B}" srcOrd="2" destOrd="0" presId="urn:microsoft.com/office/officeart/2005/8/layout/orgChart1"/>
    <dgm:cxn modelId="{89ABF315-F4D3-420F-9CCC-ADB6A622C567}" type="presParOf" srcId="{A457088C-6B34-4B1E-AF49-5A53705069EA}" destId="{273A9629-EDE6-46C7-9555-9C85FB6F532B}" srcOrd="3" destOrd="0" presId="urn:microsoft.com/office/officeart/2005/8/layout/orgChart1"/>
    <dgm:cxn modelId="{006A0F9E-6988-4EA8-92F2-735CA82EA5E4}" type="presParOf" srcId="{273A9629-EDE6-46C7-9555-9C85FB6F532B}" destId="{7DFCF8CB-1F5A-457B-B607-076FB0504BC8}" srcOrd="0" destOrd="0" presId="urn:microsoft.com/office/officeart/2005/8/layout/orgChart1"/>
    <dgm:cxn modelId="{4072948A-0E84-467A-9218-9FC181800C94}" type="presParOf" srcId="{7DFCF8CB-1F5A-457B-B607-076FB0504BC8}" destId="{873223EA-7F68-4528-98BE-9B0AD4B9BA4A}" srcOrd="0" destOrd="0" presId="urn:microsoft.com/office/officeart/2005/8/layout/orgChart1"/>
    <dgm:cxn modelId="{730E78FA-6999-4768-BE37-32C36522AF69}" type="presParOf" srcId="{7DFCF8CB-1F5A-457B-B607-076FB0504BC8}" destId="{C7560BDD-B0C7-4326-9BF2-977128BE75B1}" srcOrd="1" destOrd="0" presId="urn:microsoft.com/office/officeart/2005/8/layout/orgChart1"/>
    <dgm:cxn modelId="{A5D0B658-13AA-48E8-A802-D231535D219A}" type="presParOf" srcId="{273A9629-EDE6-46C7-9555-9C85FB6F532B}" destId="{DFE20A5A-999C-4482-AE21-B589E7C4F5BC}" srcOrd="1" destOrd="0" presId="urn:microsoft.com/office/officeart/2005/8/layout/orgChart1"/>
    <dgm:cxn modelId="{4E1B8DE3-1E24-46B5-8DB7-E2874A890A2B}" type="presParOf" srcId="{DFE20A5A-999C-4482-AE21-B589E7C4F5BC}" destId="{CE1F9F8E-E8B5-48C9-AA6B-055FF8129427}" srcOrd="0" destOrd="0" presId="urn:microsoft.com/office/officeart/2005/8/layout/orgChart1"/>
    <dgm:cxn modelId="{6BC168FC-1C70-4A35-9FFF-7A6BF490A30C}" type="presParOf" srcId="{DFE20A5A-999C-4482-AE21-B589E7C4F5BC}" destId="{B22B25E0-2B32-4909-B3DE-3770770DC61E}" srcOrd="1" destOrd="0" presId="urn:microsoft.com/office/officeart/2005/8/layout/orgChart1"/>
    <dgm:cxn modelId="{ED9AF935-A124-470B-8185-96A64143A82F}" type="presParOf" srcId="{B22B25E0-2B32-4909-B3DE-3770770DC61E}" destId="{4C9A99EB-89B7-459B-AB0E-E1AB1CF0F07E}" srcOrd="0" destOrd="0" presId="urn:microsoft.com/office/officeart/2005/8/layout/orgChart1"/>
    <dgm:cxn modelId="{BA29EF6D-4248-4A6C-97E9-DE7087508F92}" type="presParOf" srcId="{4C9A99EB-89B7-459B-AB0E-E1AB1CF0F07E}" destId="{9A1E64F1-90FC-4F6A-9630-A28347507182}" srcOrd="0" destOrd="0" presId="urn:microsoft.com/office/officeart/2005/8/layout/orgChart1"/>
    <dgm:cxn modelId="{5B4334C9-BAAD-4408-A9F6-1740DD65F15D}" type="presParOf" srcId="{4C9A99EB-89B7-459B-AB0E-E1AB1CF0F07E}" destId="{225E9645-CE22-4325-A6D5-2030D72D47AB}" srcOrd="1" destOrd="0" presId="urn:microsoft.com/office/officeart/2005/8/layout/orgChart1"/>
    <dgm:cxn modelId="{39A80696-0FFE-4AE3-9418-5468A09D5362}" type="presParOf" srcId="{B22B25E0-2B32-4909-B3DE-3770770DC61E}" destId="{5F3BA00F-4D53-445B-AF38-11AD39706FF8}" srcOrd="1" destOrd="0" presId="urn:microsoft.com/office/officeart/2005/8/layout/orgChart1"/>
    <dgm:cxn modelId="{FA91932F-C948-4DA3-825B-610D6B3D34A0}" type="presParOf" srcId="{B22B25E0-2B32-4909-B3DE-3770770DC61E}" destId="{3BC59CA8-9B10-4ACA-A04D-8429DC1DABF2}" srcOrd="2" destOrd="0" presId="urn:microsoft.com/office/officeart/2005/8/layout/orgChart1"/>
    <dgm:cxn modelId="{59235D32-AF6C-425E-8C9C-D12DF3EE8ED3}" type="presParOf" srcId="{DFE20A5A-999C-4482-AE21-B589E7C4F5BC}" destId="{DCF57CB3-4449-4E57-A164-5E94FDBA187C}" srcOrd="2" destOrd="0" presId="urn:microsoft.com/office/officeart/2005/8/layout/orgChart1"/>
    <dgm:cxn modelId="{587F2A87-18B2-4269-A893-E7133DB8FDF9}" type="presParOf" srcId="{DFE20A5A-999C-4482-AE21-B589E7C4F5BC}" destId="{52AABF47-19A9-42B8-8374-96BF91871CF9}" srcOrd="3" destOrd="0" presId="urn:microsoft.com/office/officeart/2005/8/layout/orgChart1"/>
    <dgm:cxn modelId="{CBE39851-0637-4DAC-8C30-3E5A508419FD}" type="presParOf" srcId="{52AABF47-19A9-42B8-8374-96BF91871CF9}" destId="{239C3811-239C-4E45-AFA4-BAE1CF17E7F4}" srcOrd="0" destOrd="0" presId="urn:microsoft.com/office/officeart/2005/8/layout/orgChart1"/>
    <dgm:cxn modelId="{C8A5ECCC-3D49-4E34-B5F2-D326C3433868}" type="presParOf" srcId="{239C3811-239C-4E45-AFA4-BAE1CF17E7F4}" destId="{8EAEF25F-2DD2-4D54-80B0-B5D386314CBD}" srcOrd="0" destOrd="0" presId="urn:microsoft.com/office/officeart/2005/8/layout/orgChart1"/>
    <dgm:cxn modelId="{A878A99F-55E5-49C9-A866-AA14D4D90DD5}" type="presParOf" srcId="{239C3811-239C-4E45-AFA4-BAE1CF17E7F4}" destId="{53241EBE-BBB2-48AB-AC10-635EEA86706C}" srcOrd="1" destOrd="0" presId="urn:microsoft.com/office/officeart/2005/8/layout/orgChart1"/>
    <dgm:cxn modelId="{5299D464-69CB-4584-9232-D07674413DF3}" type="presParOf" srcId="{52AABF47-19A9-42B8-8374-96BF91871CF9}" destId="{FC191BA2-1F83-4B03-93C6-B30832B3BF69}" srcOrd="1" destOrd="0" presId="urn:microsoft.com/office/officeart/2005/8/layout/orgChart1"/>
    <dgm:cxn modelId="{FE940AC4-B117-4EB7-8375-A3581F1FB4C7}" type="presParOf" srcId="{52AABF47-19A9-42B8-8374-96BF91871CF9}" destId="{26D301A9-FC88-4796-B983-4794F47A290B}" srcOrd="2" destOrd="0" presId="urn:microsoft.com/office/officeart/2005/8/layout/orgChart1"/>
    <dgm:cxn modelId="{2759A946-19E7-427B-95B1-B3F58FD481C9}" type="presParOf" srcId="{273A9629-EDE6-46C7-9555-9C85FB6F532B}" destId="{264E5045-C9E0-40DD-B29E-4706AEBE2D98}" srcOrd="2" destOrd="0" presId="urn:microsoft.com/office/officeart/2005/8/layout/orgChart1"/>
    <dgm:cxn modelId="{FBDFB08B-A8B9-4D02-B42D-EE6600D2F6B0}" type="presParOf" srcId="{A457088C-6B34-4B1E-AF49-5A53705069EA}" destId="{A6AAD986-BDDA-4373-AB96-B725F9FD1472}" srcOrd="4" destOrd="0" presId="urn:microsoft.com/office/officeart/2005/8/layout/orgChart1"/>
    <dgm:cxn modelId="{AF385842-31EF-45E2-B321-92B11D56C514}" type="presParOf" srcId="{A457088C-6B34-4B1E-AF49-5A53705069EA}" destId="{60D285E7-65E0-41F5-A241-8ABC24FAA170}" srcOrd="5" destOrd="0" presId="urn:microsoft.com/office/officeart/2005/8/layout/orgChart1"/>
    <dgm:cxn modelId="{3F41EBD4-F1A7-4DE7-894C-8802289423E7}" type="presParOf" srcId="{60D285E7-65E0-41F5-A241-8ABC24FAA170}" destId="{9280290A-3D1F-4CF0-8D03-735DFB33A88D}" srcOrd="0" destOrd="0" presId="urn:microsoft.com/office/officeart/2005/8/layout/orgChart1"/>
    <dgm:cxn modelId="{6F3E7E46-FA48-454E-AF15-EFDEE25215A1}" type="presParOf" srcId="{9280290A-3D1F-4CF0-8D03-735DFB33A88D}" destId="{E8B4E636-F6EE-4FCD-8313-5C10BC0BD96E}" srcOrd="0" destOrd="0" presId="urn:microsoft.com/office/officeart/2005/8/layout/orgChart1"/>
    <dgm:cxn modelId="{C6376133-D016-43CB-B8E2-187C1FB8612C}" type="presParOf" srcId="{9280290A-3D1F-4CF0-8D03-735DFB33A88D}" destId="{FBDC1316-480B-4FC9-9E0C-11D55B35DB3D}" srcOrd="1" destOrd="0" presId="urn:microsoft.com/office/officeart/2005/8/layout/orgChart1"/>
    <dgm:cxn modelId="{8C4EAE17-A19F-48C2-8800-947E00B7DED3}" type="presParOf" srcId="{60D285E7-65E0-41F5-A241-8ABC24FAA170}" destId="{C07FCB12-8561-41CE-B9F0-9426819FA3DD}" srcOrd="1" destOrd="0" presId="urn:microsoft.com/office/officeart/2005/8/layout/orgChart1"/>
    <dgm:cxn modelId="{8D120406-48EB-4764-A50C-5ECD04D19286}" type="presParOf" srcId="{60D285E7-65E0-41F5-A241-8ABC24FAA170}" destId="{CB1A10D5-4204-44C0-A001-40F638754F3F}" srcOrd="2" destOrd="0" presId="urn:microsoft.com/office/officeart/2005/8/layout/orgChart1"/>
    <dgm:cxn modelId="{52920595-85FD-47BF-8EEB-DEAE9936FD66}" type="presParOf" srcId="{A457088C-6B34-4B1E-AF49-5A53705069EA}" destId="{A6F323F4-E546-412D-9002-0DB2C7E004A3}" srcOrd="6" destOrd="0" presId="urn:microsoft.com/office/officeart/2005/8/layout/orgChart1"/>
    <dgm:cxn modelId="{4CCC73A4-2472-4865-BA50-8EC97101E47F}" type="presParOf" srcId="{A457088C-6B34-4B1E-AF49-5A53705069EA}" destId="{A7E8487E-A355-430F-A203-72807BA37B89}" srcOrd="7" destOrd="0" presId="urn:microsoft.com/office/officeart/2005/8/layout/orgChart1"/>
    <dgm:cxn modelId="{4106A29B-4EDB-4757-98AE-2C2FA2584B46}" type="presParOf" srcId="{A7E8487E-A355-430F-A203-72807BA37B89}" destId="{EBB5AB6A-C3AE-4916-A57F-DFDB19B24E1F}" srcOrd="0" destOrd="0" presId="urn:microsoft.com/office/officeart/2005/8/layout/orgChart1"/>
    <dgm:cxn modelId="{857D12E4-8A5B-42DB-88AF-5B6D784DD013}" type="presParOf" srcId="{EBB5AB6A-C3AE-4916-A57F-DFDB19B24E1F}" destId="{78CA72F4-0034-4309-B3A1-F9EB555CDFBB}" srcOrd="0" destOrd="0" presId="urn:microsoft.com/office/officeart/2005/8/layout/orgChart1"/>
    <dgm:cxn modelId="{CBE30187-F0D3-4C97-82E6-366F4C6B8815}" type="presParOf" srcId="{EBB5AB6A-C3AE-4916-A57F-DFDB19B24E1F}" destId="{55C64AF7-33F4-4582-BE0B-4D92A6C57C6D}" srcOrd="1" destOrd="0" presId="urn:microsoft.com/office/officeart/2005/8/layout/orgChart1"/>
    <dgm:cxn modelId="{10849BFB-95B1-4653-A687-799D8E156B97}" type="presParOf" srcId="{A7E8487E-A355-430F-A203-72807BA37B89}" destId="{CAD5C34A-60F5-4CE8-AB9F-F1E1C98A41AA}" srcOrd="1" destOrd="0" presId="urn:microsoft.com/office/officeart/2005/8/layout/orgChart1"/>
    <dgm:cxn modelId="{D9192B63-24EB-451E-9702-5F984C26E3A0}" type="presParOf" srcId="{A7E8487E-A355-430F-A203-72807BA37B89}" destId="{9DF48471-5256-4EE8-A92D-FC07A4FA8CBA}" srcOrd="2" destOrd="0" presId="urn:microsoft.com/office/officeart/2005/8/layout/orgChart1"/>
    <dgm:cxn modelId="{C1A1C357-33E7-4BFE-B787-D3CF716A3CC0}" type="presParOf" srcId="{EF362B4A-EBC1-49D7-81DF-22D702A5BEC6}" destId="{446B03C7-BD1D-4A12-9646-50B205C9B9BF}" srcOrd="2" destOrd="0" presId="urn:microsoft.com/office/officeart/2005/8/layout/orgChart1"/>
    <dgm:cxn modelId="{9DDAF09B-BF49-44C4-9D0C-67E1C20D4797}" type="presParOf" srcId="{DE4682E4-398E-458C-B52C-EDC03D2B0822}" destId="{FF337413-25A8-4F96-8812-530448FD89E6}" srcOrd="2" destOrd="0" presId="urn:microsoft.com/office/officeart/2005/8/layout/orgChart1"/>
    <dgm:cxn modelId="{F6E46C04-75FF-41BC-9D7A-E5807CCB599F}" type="presParOf" srcId="{7BCAD00A-0C0F-4A55-9D8B-A60D9628A284}" destId="{FA56C4BD-6043-4B54-910E-E8237DD65AAE}" srcOrd="2" destOrd="0" presId="urn:microsoft.com/office/officeart/2005/8/layout/orgChart1"/>
    <dgm:cxn modelId="{075F12FD-1DEB-463E-A8FA-5BDF355D7D19}" type="presParOf" srcId="{7BCAD00A-0C0F-4A55-9D8B-A60D9628A284}" destId="{5587ABA7-0698-4821-8DB3-7AEB6EAA2674}" srcOrd="3" destOrd="0" presId="urn:microsoft.com/office/officeart/2005/8/layout/orgChart1"/>
    <dgm:cxn modelId="{2230C3BB-D60B-4757-AABA-B5E34278A81C}" type="presParOf" srcId="{5587ABA7-0698-4821-8DB3-7AEB6EAA2674}" destId="{289A3F80-C877-49C4-8196-9C82E753D9D4}" srcOrd="0" destOrd="0" presId="urn:microsoft.com/office/officeart/2005/8/layout/orgChart1"/>
    <dgm:cxn modelId="{AE20C25E-15EE-459D-B0CA-5DF39EC3DE78}" type="presParOf" srcId="{289A3F80-C877-49C4-8196-9C82E753D9D4}" destId="{9B9866DE-24EA-425D-AAF9-AA88956DF751}" srcOrd="0" destOrd="0" presId="urn:microsoft.com/office/officeart/2005/8/layout/orgChart1"/>
    <dgm:cxn modelId="{2B69BF30-5D08-44F3-991B-581262350709}" type="presParOf" srcId="{289A3F80-C877-49C4-8196-9C82E753D9D4}" destId="{079F8876-CFDE-4455-9649-464E228FB647}" srcOrd="1" destOrd="0" presId="urn:microsoft.com/office/officeart/2005/8/layout/orgChart1"/>
    <dgm:cxn modelId="{792291EB-ECEE-40C5-80A2-8B1F65899243}" type="presParOf" srcId="{5587ABA7-0698-4821-8DB3-7AEB6EAA2674}" destId="{55E98BC0-F8C4-458C-AFA1-F70FDFE3C283}" srcOrd="1" destOrd="0" presId="urn:microsoft.com/office/officeart/2005/8/layout/orgChart1"/>
    <dgm:cxn modelId="{8EC0892E-B8C3-43C1-A23F-34742851C693}" type="presParOf" srcId="{55E98BC0-F8C4-458C-AFA1-F70FDFE3C283}" destId="{09E0DB91-1B85-4198-B787-4E0F0BB350D5}" srcOrd="0" destOrd="0" presId="urn:microsoft.com/office/officeart/2005/8/layout/orgChart1"/>
    <dgm:cxn modelId="{9F70B131-995D-40D2-8F63-A498C8797D75}" type="presParOf" srcId="{55E98BC0-F8C4-458C-AFA1-F70FDFE3C283}" destId="{75E3F3B5-B99D-4FFF-BDE7-8529DE26BEF4}" srcOrd="1" destOrd="0" presId="urn:microsoft.com/office/officeart/2005/8/layout/orgChart1"/>
    <dgm:cxn modelId="{8A3BEA41-6F72-4DCB-AEAC-1F2C9104E010}" type="presParOf" srcId="{75E3F3B5-B99D-4FFF-BDE7-8529DE26BEF4}" destId="{D8555131-4286-45A5-ADD1-855C774DD890}" srcOrd="0" destOrd="0" presId="urn:microsoft.com/office/officeart/2005/8/layout/orgChart1"/>
    <dgm:cxn modelId="{2C97D3B3-C1A1-4F32-B716-51F9B4DF7428}" type="presParOf" srcId="{D8555131-4286-45A5-ADD1-855C774DD890}" destId="{CD330AB0-A63B-49B7-BE13-963320C41952}" srcOrd="0" destOrd="0" presId="urn:microsoft.com/office/officeart/2005/8/layout/orgChart1"/>
    <dgm:cxn modelId="{C6E63F0E-FC97-4139-A2BA-B4671157CC48}" type="presParOf" srcId="{D8555131-4286-45A5-ADD1-855C774DD890}" destId="{FC14D896-E8C1-4EED-9966-D6B21845F566}" srcOrd="1" destOrd="0" presId="urn:microsoft.com/office/officeart/2005/8/layout/orgChart1"/>
    <dgm:cxn modelId="{9DA4EFC7-7DA2-4656-A9BB-E9C20D176E94}" type="presParOf" srcId="{75E3F3B5-B99D-4FFF-BDE7-8529DE26BEF4}" destId="{38EC9A3E-CD20-4E54-BE14-592F28A0D947}" srcOrd="1" destOrd="0" presId="urn:microsoft.com/office/officeart/2005/8/layout/orgChart1"/>
    <dgm:cxn modelId="{3C9EECED-604C-4EDA-BEFC-42E9A0380325}" type="presParOf" srcId="{38EC9A3E-CD20-4E54-BE14-592F28A0D947}" destId="{DCDC6238-9924-4CB4-8E8E-E4E6304A5BCB}" srcOrd="0" destOrd="0" presId="urn:microsoft.com/office/officeart/2005/8/layout/orgChart1"/>
    <dgm:cxn modelId="{B02AFB02-3AFC-4509-8129-9E3CB25A1E39}" type="presParOf" srcId="{38EC9A3E-CD20-4E54-BE14-592F28A0D947}" destId="{9EF1E8B1-BD79-4D33-9583-6CA750726153}" srcOrd="1" destOrd="0" presId="urn:microsoft.com/office/officeart/2005/8/layout/orgChart1"/>
    <dgm:cxn modelId="{C6491A20-6F71-41FD-BD5D-BFC836786FC2}" type="presParOf" srcId="{9EF1E8B1-BD79-4D33-9583-6CA750726153}" destId="{07DC302F-D4DB-4EBC-9E82-9AFF9BCA0D8E}" srcOrd="0" destOrd="0" presId="urn:microsoft.com/office/officeart/2005/8/layout/orgChart1"/>
    <dgm:cxn modelId="{33E0D213-67EB-47F8-B578-5A90307A787A}" type="presParOf" srcId="{07DC302F-D4DB-4EBC-9E82-9AFF9BCA0D8E}" destId="{DF49C9AB-B8F0-4060-A5B9-6FA0BFF1534C}" srcOrd="0" destOrd="0" presId="urn:microsoft.com/office/officeart/2005/8/layout/orgChart1"/>
    <dgm:cxn modelId="{3824FE22-3C72-449B-8956-295433A8FB8D}" type="presParOf" srcId="{07DC302F-D4DB-4EBC-9E82-9AFF9BCA0D8E}" destId="{D6C7C9A0-0C6B-456C-B363-30D75AB44259}" srcOrd="1" destOrd="0" presId="urn:microsoft.com/office/officeart/2005/8/layout/orgChart1"/>
    <dgm:cxn modelId="{4D697677-3CEA-483D-A847-F8160226543F}" type="presParOf" srcId="{9EF1E8B1-BD79-4D33-9583-6CA750726153}" destId="{E5679A16-25B4-49A8-B290-CE815BE6DE62}" srcOrd="1" destOrd="0" presId="urn:microsoft.com/office/officeart/2005/8/layout/orgChart1"/>
    <dgm:cxn modelId="{7DAFD05D-7B0A-443E-90DE-F22919422F3D}" type="presParOf" srcId="{9EF1E8B1-BD79-4D33-9583-6CA750726153}" destId="{4BACE9F7-C8EE-4912-AF9E-8B32CB8DBD50}" srcOrd="2" destOrd="0" presId="urn:microsoft.com/office/officeart/2005/8/layout/orgChart1"/>
    <dgm:cxn modelId="{9BEA3C88-8F3E-427F-A7C5-E80DDA337B8A}" type="presParOf" srcId="{38EC9A3E-CD20-4E54-BE14-592F28A0D947}" destId="{26C03E25-FF64-4F0D-8C01-1A1D89FC99A1}" srcOrd="2" destOrd="0" presId="urn:microsoft.com/office/officeart/2005/8/layout/orgChart1"/>
    <dgm:cxn modelId="{A225787B-DDE0-4C54-9F55-C6E7858AE03C}" type="presParOf" srcId="{38EC9A3E-CD20-4E54-BE14-592F28A0D947}" destId="{6ACA798F-F9F8-4003-A86C-13B7C228A6E3}" srcOrd="3" destOrd="0" presId="urn:microsoft.com/office/officeart/2005/8/layout/orgChart1"/>
    <dgm:cxn modelId="{721FE175-88BD-4641-A802-BBFAE174F88E}" type="presParOf" srcId="{6ACA798F-F9F8-4003-A86C-13B7C228A6E3}" destId="{3F6913A3-FD8C-4F63-A4A1-E0A1C0D7929C}" srcOrd="0" destOrd="0" presId="urn:microsoft.com/office/officeart/2005/8/layout/orgChart1"/>
    <dgm:cxn modelId="{7454CB68-38EE-44D1-AB04-8B149CD5CAAC}" type="presParOf" srcId="{3F6913A3-FD8C-4F63-A4A1-E0A1C0D7929C}" destId="{43AD2866-D424-4AF3-A100-EFC5B325B720}" srcOrd="0" destOrd="0" presId="urn:microsoft.com/office/officeart/2005/8/layout/orgChart1"/>
    <dgm:cxn modelId="{226F87E3-82D9-42D1-B8A8-D684572EA630}" type="presParOf" srcId="{3F6913A3-FD8C-4F63-A4A1-E0A1C0D7929C}" destId="{38452ACB-059D-4313-A3C0-746352DA3EC7}" srcOrd="1" destOrd="0" presId="urn:microsoft.com/office/officeart/2005/8/layout/orgChart1"/>
    <dgm:cxn modelId="{40AE2E97-550E-4DAA-826C-C1BB9732BE86}" type="presParOf" srcId="{6ACA798F-F9F8-4003-A86C-13B7C228A6E3}" destId="{80439259-4446-4140-8C2D-D38CB7047AAD}" srcOrd="1" destOrd="0" presId="urn:microsoft.com/office/officeart/2005/8/layout/orgChart1"/>
    <dgm:cxn modelId="{44E119C8-F083-48F4-9457-F8ECD7ECA4E9}" type="presParOf" srcId="{6ACA798F-F9F8-4003-A86C-13B7C228A6E3}" destId="{89E17280-62FA-4621-B9D7-65AEF310A9BD}" srcOrd="2" destOrd="0" presId="urn:microsoft.com/office/officeart/2005/8/layout/orgChart1"/>
    <dgm:cxn modelId="{4C87166D-195E-4E81-BE5F-30A0658824A7}" type="presParOf" srcId="{38EC9A3E-CD20-4E54-BE14-592F28A0D947}" destId="{1A9689D5-BDC2-40D0-BACD-244220DD3FB0}" srcOrd="4" destOrd="0" presId="urn:microsoft.com/office/officeart/2005/8/layout/orgChart1"/>
    <dgm:cxn modelId="{F90BB4F5-B125-4BFB-B9C2-C4C230306882}" type="presParOf" srcId="{38EC9A3E-CD20-4E54-BE14-592F28A0D947}" destId="{21DC4346-092C-4710-A7E8-B9C35E0AC3E2}" srcOrd="5" destOrd="0" presId="urn:microsoft.com/office/officeart/2005/8/layout/orgChart1"/>
    <dgm:cxn modelId="{B5EB9062-4096-4974-B209-D4BD3FA65B25}" type="presParOf" srcId="{21DC4346-092C-4710-A7E8-B9C35E0AC3E2}" destId="{CF5A7D85-2CCA-4381-B933-46400D952563}" srcOrd="0" destOrd="0" presId="urn:microsoft.com/office/officeart/2005/8/layout/orgChart1"/>
    <dgm:cxn modelId="{A63A0A24-B504-47F1-89E6-B74D2563C2B8}" type="presParOf" srcId="{CF5A7D85-2CCA-4381-B933-46400D952563}" destId="{FCBBA2A9-5C6A-41BE-97FE-E1F3CF9D436A}" srcOrd="0" destOrd="0" presId="urn:microsoft.com/office/officeart/2005/8/layout/orgChart1"/>
    <dgm:cxn modelId="{15E624D0-E5D2-4B28-8B76-5D6591C210BF}" type="presParOf" srcId="{CF5A7D85-2CCA-4381-B933-46400D952563}" destId="{41DE91AE-6FB3-45E3-969B-F3A14899419F}" srcOrd="1" destOrd="0" presId="urn:microsoft.com/office/officeart/2005/8/layout/orgChart1"/>
    <dgm:cxn modelId="{FD382388-BE59-4BA9-A7CD-9AB3356619A4}" type="presParOf" srcId="{21DC4346-092C-4710-A7E8-B9C35E0AC3E2}" destId="{7650159B-4FEE-43FF-801D-20E8C0E30ED6}" srcOrd="1" destOrd="0" presId="urn:microsoft.com/office/officeart/2005/8/layout/orgChart1"/>
    <dgm:cxn modelId="{1F24D15E-5397-4B21-B1DE-A99EA1E2C147}" type="presParOf" srcId="{21DC4346-092C-4710-A7E8-B9C35E0AC3E2}" destId="{F980364A-0FF9-4640-A251-B3CA766F3CF2}" srcOrd="2" destOrd="0" presId="urn:microsoft.com/office/officeart/2005/8/layout/orgChart1"/>
    <dgm:cxn modelId="{D8F0F35B-88AF-4E83-BBCF-32248438A0A7}" type="presParOf" srcId="{38EC9A3E-CD20-4E54-BE14-592F28A0D947}" destId="{33E8EBCD-330D-4159-85A7-FFCDEC90A699}" srcOrd="6" destOrd="0" presId="urn:microsoft.com/office/officeart/2005/8/layout/orgChart1"/>
    <dgm:cxn modelId="{4D29824B-FF16-4240-B0E6-4FC1DE98E23C}" type="presParOf" srcId="{38EC9A3E-CD20-4E54-BE14-592F28A0D947}" destId="{BD6CC24F-0C2E-4CB7-9BC6-D2E2F5B6647D}" srcOrd="7" destOrd="0" presId="urn:microsoft.com/office/officeart/2005/8/layout/orgChart1"/>
    <dgm:cxn modelId="{81E592D8-4AAC-4732-9C28-03C126ED29D8}" type="presParOf" srcId="{BD6CC24F-0C2E-4CB7-9BC6-D2E2F5B6647D}" destId="{F97D8A62-1F2A-42D7-9421-B945021B62F8}" srcOrd="0" destOrd="0" presId="urn:microsoft.com/office/officeart/2005/8/layout/orgChart1"/>
    <dgm:cxn modelId="{73A72967-1F3E-4083-B74B-5D1FCFAB427C}" type="presParOf" srcId="{F97D8A62-1F2A-42D7-9421-B945021B62F8}" destId="{F0D0E67C-C846-484A-B367-108D466DB8D7}" srcOrd="0" destOrd="0" presId="urn:microsoft.com/office/officeart/2005/8/layout/orgChart1"/>
    <dgm:cxn modelId="{53594FC8-23FF-45AA-B4AC-B4E04D8E95D0}" type="presParOf" srcId="{F97D8A62-1F2A-42D7-9421-B945021B62F8}" destId="{DB3C6A4B-3272-4325-9E35-F20BD263E93A}" srcOrd="1" destOrd="0" presId="urn:microsoft.com/office/officeart/2005/8/layout/orgChart1"/>
    <dgm:cxn modelId="{13CF8689-926B-416D-BFB5-9F289285BC75}" type="presParOf" srcId="{BD6CC24F-0C2E-4CB7-9BC6-D2E2F5B6647D}" destId="{1AAFBA64-CF2E-4E66-83F4-79E498E309F3}" srcOrd="1" destOrd="0" presId="urn:microsoft.com/office/officeart/2005/8/layout/orgChart1"/>
    <dgm:cxn modelId="{3D4CE458-6B34-4FA4-BE04-B59193B7C397}" type="presParOf" srcId="{BD6CC24F-0C2E-4CB7-9BC6-D2E2F5B6647D}" destId="{CDCC0E1D-0FA8-4BBF-8FB0-C50E77AC6A24}" srcOrd="2" destOrd="0" presId="urn:microsoft.com/office/officeart/2005/8/layout/orgChart1"/>
    <dgm:cxn modelId="{F9B85AB1-8A66-490B-82D5-B303FAB6CCA5}" type="presParOf" srcId="{75E3F3B5-B99D-4FFF-BDE7-8529DE26BEF4}" destId="{8AFD83CB-0079-4CEE-A6B1-A2A079C57330}" srcOrd="2" destOrd="0" presId="urn:microsoft.com/office/officeart/2005/8/layout/orgChart1"/>
    <dgm:cxn modelId="{AC7C03C0-6EDB-4F95-B8F0-BD8EAFFEEF29}" type="presParOf" srcId="{5587ABA7-0698-4821-8DB3-7AEB6EAA2674}" destId="{C18C8C27-4D85-44E0-9555-9E94F51FE052}" srcOrd="2" destOrd="0" presId="urn:microsoft.com/office/officeart/2005/8/layout/orgChart1"/>
    <dgm:cxn modelId="{81C4C39C-8D5E-43FB-9B5A-3E826489D5FC}" type="presParOf" srcId="{AA85D489-C231-4A0D-8B92-77E1D1F56290}" destId="{2B328CA6-5677-4434-A248-9950F6EFDE28}" srcOrd="2" destOrd="0" presId="urn:microsoft.com/office/officeart/2005/8/layout/orgChart1"/>
    <dgm:cxn modelId="{3F2172D1-B8E6-4E5C-9334-C3AD2B4384BD}" type="presParOf" srcId="{949FB98A-A2F7-4333-A738-890744047262}" destId="{059C22EE-4EA1-4A4E-8BEA-6527B19C8640}" srcOrd="6" destOrd="0" presId="urn:microsoft.com/office/officeart/2005/8/layout/orgChart1"/>
    <dgm:cxn modelId="{AAC26459-051F-4649-8C3D-8AF091632857}" type="presParOf" srcId="{949FB98A-A2F7-4333-A738-890744047262}" destId="{2587A343-6BD7-4FCC-A19A-143BF4DB2A87}" srcOrd="7" destOrd="0" presId="urn:microsoft.com/office/officeart/2005/8/layout/orgChart1"/>
    <dgm:cxn modelId="{838931F2-EBC6-454B-B268-7F2F47B7FEF6}" type="presParOf" srcId="{2587A343-6BD7-4FCC-A19A-143BF4DB2A87}" destId="{6CE243E6-D34F-4AA6-B29F-8A276FC9B4FC}" srcOrd="0" destOrd="0" presId="urn:microsoft.com/office/officeart/2005/8/layout/orgChart1"/>
    <dgm:cxn modelId="{47B02CD7-2B96-48A1-9CDD-4501CE384EE4}" type="presParOf" srcId="{6CE243E6-D34F-4AA6-B29F-8A276FC9B4FC}" destId="{DC606F7D-0512-4822-84C6-5204BC7E58AA}" srcOrd="0" destOrd="0" presId="urn:microsoft.com/office/officeart/2005/8/layout/orgChart1"/>
    <dgm:cxn modelId="{461747A6-5451-4AEE-8D44-1D4EAE3EA72A}" type="presParOf" srcId="{6CE243E6-D34F-4AA6-B29F-8A276FC9B4FC}" destId="{7F43DBEE-B60F-4C19-A3B0-BF5701214A5E}" srcOrd="1" destOrd="0" presId="urn:microsoft.com/office/officeart/2005/8/layout/orgChart1"/>
    <dgm:cxn modelId="{555ABAFE-2131-433D-ACF5-B5C1F051728A}" type="presParOf" srcId="{2587A343-6BD7-4FCC-A19A-143BF4DB2A87}" destId="{92884380-F839-4BF8-A6D1-2F3C2CA92AB5}" srcOrd="1" destOrd="0" presId="urn:microsoft.com/office/officeart/2005/8/layout/orgChart1"/>
    <dgm:cxn modelId="{B298A7F7-C37E-47C9-95BA-10BEAD6205FB}" type="presParOf" srcId="{92884380-F839-4BF8-A6D1-2F3C2CA92AB5}" destId="{1FB9DFAA-3011-404B-B2FB-82DE1D530E40}" srcOrd="0" destOrd="0" presId="urn:microsoft.com/office/officeart/2005/8/layout/orgChart1"/>
    <dgm:cxn modelId="{A6BB3030-0BBF-4D75-B901-3E5F38DBFDCC}" type="presParOf" srcId="{92884380-F839-4BF8-A6D1-2F3C2CA92AB5}" destId="{2B416C8F-E48C-4950-8E21-E9A666CB23C0}" srcOrd="1" destOrd="0" presId="urn:microsoft.com/office/officeart/2005/8/layout/orgChart1"/>
    <dgm:cxn modelId="{6C101F86-0559-4E90-811E-146B41DD8795}" type="presParOf" srcId="{2B416C8F-E48C-4950-8E21-E9A666CB23C0}" destId="{4E5D6ABA-4D4D-49D8-930E-CDC8E0354FB2}" srcOrd="0" destOrd="0" presId="urn:microsoft.com/office/officeart/2005/8/layout/orgChart1"/>
    <dgm:cxn modelId="{11CBD184-BD37-41E5-99B4-32A324921FF4}" type="presParOf" srcId="{4E5D6ABA-4D4D-49D8-930E-CDC8E0354FB2}" destId="{6C7766F8-3CA4-4B55-A2B1-A9A57BDBAE31}" srcOrd="0" destOrd="0" presId="urn:microsoft.com/office/officeart/2005/8/layout/orgChart1"/>
    <dgm:cxn modelId="{475AC493-3272-462C-8A6E-7823547AD75C}" type="presParOf" srcId="{4E5D6ABA-4D4D-49D8-930E-CDC8E0354FB2}" destId="{FA9F7A91-9535-4A9D-A525-1C7B52AA3CAD}" srcOrd="1" destOrd="0" presId="urn:microsoft.com/office/officeart/2005/8/layout/orgChart1"/>
    <dgm:cxn modelId="{605EA78A-3888-457A-AADF-6162033D73B6}" type="presParOf" srcId="{2B416C8F-E48C-4950-8E21-E9A666CB23C0}" destId="{F0A8852E-A81E-4A81-9901-83DBE881B4F2}" srcOrd="1" destOrd="0" presId="urn:microsoft.com/office/officeart/2005/8/layout/orgChart1"/>
    <dgm:cxn modelId="{D2A46A72-3C0F-472D-A6C4-2E90B95B1789}" type="presParOf" srcId="{2B416C8F-E48C-4950-8E21-E9A666CB23C0}" destId="{4FC409BD-916B-4F90-A7EF-4CF2F8219E7F}" srcOrd="2" destOrd="0" presId="urn:microsoft.com/office/officeart/2005/8/layout/orgChart1"/>
    <dgm:cxn modelId="{019D5E25-FB12-4777-AB90-56905670F86C}" type="presParOf" srcId="{92884380-F839-4BF8-A6D1-2F3C2CA92AB5}" destId="{0C03C1CE-E351-4370-B37B-BCBBA6EACE73}" srcOrd="2" destOrd="0" presId="urn:microsoft.com/office/officeart/2005/8/layout/orgChart1"/>
    <dgm:cxn modelId="{1333A826-337E-4FEB-8B05-4D32FA57D67E}" type="presParOf" srcId="{92884380-F839-4BF8-A6D1-2F3C2CA92AB5}" destId="{F450406A-CE7B-499A-83F6-64520A2C610B}" srcOrd="3" destOrd="0" presId="urn:microsoft.com/office/officeart/2005/8/layout/orgChart1"/>
    <dgm:cxn modelId="{D6B7B16D-FAC5-4FCC-A081-EE6958346944}" type="presParOf" srcId="{F450406A-CE7B-499A-83F6-64520A2C610B}" destId="{F17DEFCE-8640-4795-8F05-62D58D2E4037}" srcOrd="0" destOrd="0" presId="urn:microsoft.com/office/officeart/2005/8/layout/orgChart1"/>
    <dgm:cxn modelId="{C4720C6C-3389-441A-BFB1-543492F929C7}" type="presParOf" srcId="{F17DEFCE-8640-4795-8F05-62D58D2E4037}" destId="{4FCB0235-D840-4E32-AF87-A5EC10F1D21A}" srcOrd="0" destOrd="0" presId="urn:microsoft.com/office/officeart/2005/8/layout/orgChart1"/>
    <dgm:cxn modelId="{95EE1889-6353-43B6-A6FB-B4711078D2F7}" type="presParOf" srcId="{F17DEFCE-8640-4795-8F05-62D58D2E4037}" destId="{EA1226AD-A4C8-4D20-BD8F-018378C4C7BD}" srcOrd="1" destOrd="0" presId="urn:microsoft.com/office/officeart/2005/8/layout/orgChart1"/>
    <dgm:cxn modelId="{A81A99B0-8CDD-4B85-8E54-6689F3659C43}" type="presParOf" srcId="{F450406A-CE7B-499A-83F6-64520A2C610B}" destId="{80E3AE57-B862-474F-88AF-4F6FE00DF30E}" srcOrd="1" destOrd="0" presId="urn:microsoft.com/office/officeart/2005/8/layout/orgChart1"/>
    <dgm:cxn modelId="{0929AD79-12A8-44D8-A68A-E7EF10A10BFF}" type="presParOf" srcId="{F450406A-CE7B-499A-83F6-64520A2C610B}" destId="{0F0E421F-04B6-44B2-A118-4C81DADD76E6}" srcOrd="2" destOrd="0" presId="urn:microsoft.com/office/officeart/2005/8/layout/orgChart1"/>
    <dgm:cxn modelId="{2EFFF337-4E4F-425C-9FDC-212C6A670288}" type="presParOf" srcId="{92884380-F839-4BF8-A6D1-2F3C2CA92AB5}" destId="{F790520A-43F4-4739-A2CA-F8C4C7F8482F}" srcOrd="4" destOrd="0" presId="urn:microsoft.com/office/officeart/2005/8/layout/orgChart1"/>
    <dgm:cxn modelId="{21AA6098-0AE5-44FF-A51B-6E68FFB45ECD}" type="presParOf" srcId="{92884380-F839-4BF8-A6D1-2F3C2CA92AB5}" destId="{990E28DA-7CF5-4502-90A8-328AC5740EB3}" srcOrd="5" destOrd="0" presId="urn:microsoft.com/office/officeart/2005/8/layout/orgChart1"/>
    <dgm:cxn modelId="{7ACF9412-7BD6-4C78-92B8-C8D338B75B14}" type="presParOf" srcId="{990E28DA-7CF5-4502-90A8-328AC5740EB3}" destId="{796BDDAE-9769-4B6C-B664-C99AB1F1EA6B}" srcOrd="0" destOrd="0" presId="urn:microsoft.com/office/officeart/2005/8/layout/orgChart1"/>
    <dgm:cxn modelId="{D4D2898F-4BA5-4BEF-A6A5-208C5FAC2979}" type="presParOf" srcId="{796BDDAE-9769-4B6C-B664-C99AB1F1EA6B}" destId="{0A63D2F4-C327-4936-997D-E8A37FF9B974}" srcOrd="0" destOrd="0" presId="urn:microsoft.com/office/officeart/2005/8/layout/orgChart1"/>
    <dgm:cxn modelId="{31F57AF1-F6A4-4044-BD9B-CFA6F67AEFE3}" type="presParOf" srcId="{796BDDAE-9769-4B6C-B664-C99AB1F1EA6B}" destId="{37BC9415-6238-4077-808B-B5AF5E0C13B3}" srcOrd="1" destOrd="0" presId="urn:microsoft.com/office/officeart/2005/8/layout/orgChart1"/>
    <dgm:cxn modelId="{25510010-F75B-410F-B3D1-8B59A4249245}" type="presParOf" srcId="{990E28DA-7CF5-4502-90A8-328AC5740EB3}" destId="{2B5F8F5D-9B5C-4780-ABE5-8F9BF4049143}" srcOrd="1" destOrd="0" presId="urn:microsoft.com/office/officeart/2005/8/layout/orgChart1"/>
    <dgm:cxn modelId="{711C2D75-38F1-44AA-8EAB-286B55EFDAB2}" type="presParOf" srcId="{990E28DA-7CF5-4502-90A8-328AC5740EB3}" destId="{C06FB175-2E03-4F73-BF54-1A055FD264D0}" srcOrd="2" destOrd="0" presId="urn:microsoft.com/office/officeart/2005/8/layout/orgChart1"/>
    <dgm:cxn modelId="{216C6F87-7184-481E-9F56-C39B5C2ABF5A}" type="presParOf" srcId="{2587A343-6BD7-4FCC-A19A-143BF4DB2A87}" destId="{A5FDA1D4-6378-4EF9-BE53-33B64A9F7567}" srcOrd="2" destOrd="0" presId="urn:microsoft.com/office/officeart/2005/8/layout/orgChart1"/>
    <dgm:cxn modelId="{5F4B9C48-F935-4F01-9203-F79F0DDB0583}" type="presParOf" srcId="{949FB98A-A2F7-4333-A738-890744047262}" destId="{5A3C222E-EA04-469D-B2A5-428B109ED3E0}" srcOrd="8" destOrd="0" presId="urn:microsoft.com/office/officeart/2005/8/layout/orgChart1"/>
    <dgm:cxn modelId="{3A563F0E-6A4B-4DB0-ACF0-3D9410E48033}" type="presParOf" srcId="{949FB98A-A2F7-4333-A738-890744047262}" destId="{0B7AC5A3-C251-4ACD-AFC5-DB05A39ED77E}" srcOrd="9" destOrd="0" presId="urn:microsoft.com/office/officeart/2005/8/layout/orgChart1"/>
    <dgm:cxn modelId="{D2B91AD8-8D0A-4FB7-8376-9FDEF23C03EA}" type="presParOf" srcId="{0B7AC5A3-C251-4ACD-AFC5-DB05A39ED77E}" destId="{4EB69B21-5E38-4A29-8AE2-51958DD105CD}" srcOrd="0" destOrd="0" presId="urn:microsoft.com/office/officeart/2005/8/layout/orgChart1"/>
    <dgm:cxn modelId="{65402170-4CAE-46A1-BCE2-C3DFEFA4463F}" type="presParOf" srcId="{4EB69B21-5E38-4A29-8AE2-51958DD105CD}" destId="{4CE408D0-F3D2-47E9-9B4D-994714D670D2}" srcOrd="0" destOrd="0" presId="urn:microsoft.com/office/officeart/2005/8/layout/orgChart1"/>
    <dgm:cxn modelId="{3C89B3CB-4EA1-4B8F-8354-99064982FA67}" type="presParOf" srcId="{4EB69B21-5E38-4A29-8AE2-51958DD105CD}" destId="{0C119077-4FBF-401B-9C59-35B6841A35C3}" srcOrd="1" destOrd="0" presId="urn:microsoft.com/office/officeart/2005/8/layout/orgChart1"/>
    <dgm:cxn modelId="{B7F76B1E-8832-49C8-A6B6-6F7BC631147E}" type="presParOf" srcId="{0B7AC5A3-C251-4ACD-AFC5-DB05A39ED77E}" destId="{39B157A7-232F-4B4B-9C8C-698FDA17D505}" srcOrd="1" destOrd="0" presId="urn:microsoft.com/office/officeart/2005/8/layout/orgChart1"/>
    <dgm:cxn modelId="{86A748AA-C747-4532-8583-1EFCC6DEDC9E}" type="presParOf" srcId="{39B157A7-232F-4B4B-9C8C-698FDA17D505}" destId="{833B4291-B94B-47C3-BE6D-A02B174BB6AF}" srcOrd="0" destOrd="0" presId="urn:microsoft.com/office/officeart/2005/8/layout/orgChart1"/>
    <dgm:cxn modelId="{43021C6B-FF72-4F3F-A08F-A41C6269E488}" type="presParOf" srcId="{39B157A7-232F-4B4B-9C8C-698FDA17D505}" destId="{DB0BEB81-9B5C-42E9-A03D-A607959BB697}" srcOrd="1" destOrd="0" presId="urn:microsoft.com/office/officeart/2005/8/layout/orgChart1"/>
    <dgm:cxn modelId="{2C62BA19-B65A-49E7-A2AF-C6B9C9F14B60}" type="presParOf" srcId="{DB0BEB81-9B5C-42E9-A03D-A607959BB697}" destId="{272D7932-42C8-4B1A-9A1E-1FF9961D5050}" srcOrd="0" destOrd="0" presId="urn:microsoft.com/office/officeart/2005/8/layout/orgChart1"/>
    <dgm:cxn modelId="{FB0DCE98-A5CE-4B71-A712-9312D8DC8432}" type="presParOf" srcId="{272D7932-42C8-4B1A-9A1E-1FF9961D5050}" destId="{C83F4A0E-1E92-4983-AFFC-CBBF607C3D31}" srcOrd="0" destOrd="0" presId="urn:microsoft.com/office/officeart/2005/8/layout/orgChart1"/>
    <dgm:cxn modelId="{0C0CD90E-9081-42C3-AA5B-B2900148940C}" type="presParOf" srcId="{272D7932-42C8-4B1A-9A1E-1FF9961D5050}" destId="{C98E2A45-B8C9-435A-AB15-A376A21595F3}" srcOrd="1" destOrd="0" presId="urn:microsoft.com/office/officeart/2005/8/layout/orgChart1"/>
    <dgm:cxn modelId="{D6FE0C22-8700-4400-ADE8-4433FA1307D9}" type="presParOf" srcId="{DB0BEB81-9B5C-42E9-A03D-A607959BB697}" destId="{D57D0DC5-DD58-42D0-8F7E-FB931DB87F7B}" srcOrd="1" destOrd="0" presId="urn:microsoft.com/office/officeart/2005/8/layout/orgChart1"/>
    <dgm:cxn modelId="{51C60974-19F1-488C-A318-AD21C97D4459}" type="presParOf" srcId="{D57D0DC5-DD58-42D0-8F7E-FB931DB87F7B}" destId="{D9233897-B285-4633-91EF-E2FB2CD1D1E4}" srcOrd="0" destOrd="0" presId="urn:microsoft.com/office/officeart/2005/8/layout/orgChart1"/>
    <dgm:cxn modelId="{3A77B307-E3D8-4233-8D4D-BF8344474326}" type="presParOf" srcId="{D57D0DC5-DD58-42D0-8F7E-FB931DB87F7B}" destId="{85457D89-5182-4996-88B0-32FA106CF68D}" srcOrd="1" destOrd="0" presId="urn:microsoft.com/office/officeart/2005/8/layout/orgChart1"/>
    <dgm:cxn modelId="{1F2222FD-AFBB-4B12-8368-8FCD53AE4972}" type="presParOf" srcId="{85457D89-5182-4996-88B0-32FA106CF68D}" destId="{B70B31EF-6BFC-4E82-90B5-6A79871CC603}" srcOrd="0" destOrd="0" presId="urn:microsoft.com/office/officeart/2005/8/layout/orgChart1"/>
    <dgm:cxn modelId="{BDF9854D-0F25-45B3-9F4B-272EB63C33BA}" type="presParOf" srcId="{B70B31EF-6BFC-4E82-90B5-6A79871CC603}" destId="{E215F77F-8CA8-4A30-9C75-86BA56D3C21F}" srcOrd="0" destOrd="0" presId="urn:microsoft.com/office/officeart/2005/8/layout/orgChart1"/>
    <dgm:cxn modelId="{711D31CA-6223-4460-8B75-85CADD99128E}" type="presParOf" srcId="{B70B31EF-6BFC-4E82-90B5-6A79871CC603}" destId="{D7CBFE04-5150-46BC-8194-F90D3CA81AC8}" srcOrd="1" destOrd="0" presId="urn:microsoft.com/office/officeart/2005/8/layout/orgChart1"/>
    <dgm:cxn modelId="{60EB1B42-B741-4870-AF84-8566E79CD492}" type="presParOf" srcId="{85457D89-5182-4996-88B0-32FA106CF68D}" destId="{73100072-3E96-4F79-B304-02DEC565990A}" srcOrd="1" destOrd="0" presId="urn:microsoft.com/office/officeart/2005/8/layout/orgChart1"/>
    <dgm:cxn modelId="{AA0B4854-EE5A-46C1-8A23-700199C3F710}" type="presParOf" srcId="{85457D89-5182-4996-88B0-32FA106CF68D}" destId="{3906BA54-8455-452C-BA44-FDA42C46F17F}" srcOrd="2" destOrd="0" presId="urn:microsoft.com/office/officeart/2005/8/layout/orgChart1"/>
    <dgm:cxn modelId="{477DABD9-58EE-4800-9196-EECB0AC45375}" type="presParOf" srcId="{D57D0DC5-DD58-42D0-8F7E-FB931DB87F7B}" destId="{8563C7A7-10D4-41EF-B4D0-EC0F5DA9C051}" srcOrd="2" destOrd="0" presId="urn:microsoft.com/office/officeart/2005/8/layout/orgChart1"/>
    <dgm:cxn modelId="{AC2F43F3-1FB7-45C1-9AF0-85AC6DA1AA36}" type="presParOf" srcId="{D57D0DC5-DD58-42D0-8F7E-FB931DB87F7B}" destId="{F7CC40E9-0E53-4C2D-BEFC-21B1BCF93645}" srcOrd="3" destOrd="0" presId="urn:microsoft.com/office/officeart/2005/8/layout/orgChart1"/>
    <dgm:cxn modelId="{584C7480-B852-4D02-BD10-FD9E823CCBDA}" type="presParOf" srcId="{F7CC40E9-0E53-4C2D-BEFC-21B1BCF93645}" destId="{DF2A6F55-988A-4BE2-8468-68E6461511CF}" srcOrd="0" destOrd="0" presId="urn:microsoft.com/office/officeart/2005/8/layout/orgChart1"/>
    <dgm:cxn modelId="{2A59D53E-757D-4D4F-B6D3-07AA2D055016}" type="presParOf" srcId="{DF2A6F55-988A-4BE2-8468-68E6461511CF}" destId="{B2F4EA58-C736-4168-8B7E-208A9B8BD3E7}" srcOrd="0" destOrd="0" presId="urn:microsoft.com/office/officeart/2005/8/layout/orgChart1"/>
    <dgm:cxn modelId="{AA932FAF-1D2B-430F-80ED-DCA0071CA59A}" type="presParOf" srcId="{DF2A6F55-988A-4BE2-8468-68E6461511CF}" destId="{B2CFB48C-7997-4644-987C-7D4E545BF78C}" srcOrd="1" destOrd="0" presId="urn:microsoft.com/office/officeart/2005/8/layout/orgChart1"/>
    <dgm:cxn modelId="{44994D95-D2F5-4D06-806F-9F03F89DBDD0}" type="presParOf" srcId="{F7CC40E9-0E53-4C2D-BEFC-21B1BCF93645}" destId="{F829AA3B-7EF1-4C58-9B0F-B5297A37DB52}" srcOrd="1" destOrd="0" presId="urn:microsoft.com/office/officeart/2005/8/layout/orgChart1"/>
    <dgm:cxn modelId="{47314B84-B6C7-43B7-98DC-6A46B61C6CE2}" type="presParOf" srcId="{F7CC40E9-0E53-4C2D-BEFC-21B1BCF93645}" destId="{5B056663-6FE5-4B08-ABF3-DB884A9FA1A0}" srcOrd="2" destOrd="0" presId="urn:microsoft.com/office/officeart/2005/8/layout/orgChart1"/>
    <dgm:cxn modelId="{93B94E69-E933-4D99-A260-809695FDEC6E}" type="presParOf" srcId="{D57D0DC5-DD58-42D0-8F7E-FB931DB87F7B}" destId="{2DCCF489-911C-4862-9293-EA9511EE6422}" srcOrd="4" destOrd="0" presId="urn:microsoft.com/office/officeart/2005/8/layout/orgChart1"/>
    <dgm:cxn modelId="{777747AD-8863-4C7E-8CCA-E682DB3CDAE5}" type="presParOf" srcId="{D57D0DC5-DD58-42D0-8F7E-FB931DB87F7B}" destId="{70736AE1-AD18-407F-8A47-537F7A27C706}" srcOrd="5" destOrd="0" presId="urn:microsoft.com/office/officeart/2005/8/layout/orgChart1"/>
    <dgm:cxn modelId="{040B4B3D-28F6-4AF7-B512-9E72E099FDC8}" type="presParOf" srcId="{70736AE1-AD18-407F-8A47-537F7A27C706}" destId="{1FB15BD7-5AF8-4827-B210-5E27DE899D48}" srcOrd="0" destOrd="0" presId="urn:microsoft.com/office/officeart/2005/8/layout/orgChart1"/>
    <dgm:cxn modelId="{C3E9A0ED-4001-4268-92F1-45330FD71F2B}" type="presParOf" srcId="{1FB15BD7-5AF8-4827-B210-5E27DE899D48}" destId="{9D869396-0DB3-4E56-B5C3-B8ECD17AE0CF}" srcOrd="0" destOrd="0" presId="urn:microsoft.com/office/officeart/2005/8/layout/orgChart1"/>
    <dgm:cxn modelId="{B9BEB4AB-9BC1-4565-A8DA-BB08B1A069C3}" type="presParOf" srcId="{1FB15BD7-5AF8-4827-B210-5E27DE899D48}" destId="{7A95AA17-EB91-472F-BD43-D8E331A52BA6}" srcOrd="1" destOrd="0" presId="urn:microsoft.com/office/officeart/2005/8/layout/orgChart1"/>
    <dgm:cxn modelId="{2CF99915-744E-48CD-B274-EFFF06116F85}" type="presParOf" srcId="{70736AE1-AD18-407F-8A47-537F7A27C706}" destId="{B909E0A2-1EF6-4073-B96F-4895AC56EE17}" srcOrd="1" destOrd="0" presId="urn:microsoft.com/office/officeart/2005/8/layout/orgChart1"/>
    <dgm:cxn modelId="{D32C25CA-20EF-4664-A080-497AC337470F}" type="presParOf" srcId="{70736AE1-AD18-407F-8A47-537F7A27C706}" destId="{A61B55B2-0C4F-44E6-9833-C60B5EC03C6D}" srcOrd="2" destOrd="0" presId="urn:microsoft.com/office/officeart/2005/8/layout/orgChart1"/>
    <dgm:cxn modelId="{4D095253-BEBE-4B36-9272-EAAB048C9A88}" type="presParOf" srcId="{DB0BEB81-9B5C-42E9-A03D-A607959BB697}" destId="{E70C8E3B-46CC-4C96-887F-C661A65260F3}" srcOrd="2" destOrd="0" presId="urn:microsoft.com/office/officeart/2005/8/layout/orgChart1"/>
    <dgm:cxn modelId="{E2464D25-538C-4939-98C2-5E4FB3526690}" type="presParOf" srcId="{39B157A7-232F-4B4B-9C8C-698FDA17D505}" destId="{641F49A3-7FBD-4DB2-A80E-FB04E19A7278}" srcOrd="2" destOrd="0" presId="urn:microsoft.com/office/officeart/2005/8/layout/orgChart1"/>
    <dgm:cxn modelId="{12996294-9055-4203-A780-7710DDB7E59E}" type="presParOf" srcId="{39B157A7-232F-4B4B-9C8C-698FDA17D505}" destId="{87E8F7D6-7FEA-4A0B-8172-E2B574B3CC33}" srcOrd="3" destOrd="0" presId="urn:microsoft.com/office/officeart/2005/8/layout/orgChart1"/>
    <dgm:cxn modelId="{2C6B8EC8-A4C7-4DAC-81B5-673739DC1294}" type="presParOf" srcId="{87E8F7D6-7FEA-4A0B-8172-E2B574B3CC33}" destId="{245BB9C8-BB27-4140-832C-C02CF771BA78}" srcOrd="0" destOrd="0" presId="urn:microsoft.com/office/officeart/2005/8/layout/orgChart1"/>
    <dgm:cxn modelId="{3B34F57E-9917-49BB-880A-FE4CA8BA7ACE}" type="presParOf" srcId="{245BB9C8-BB27-4140-832C-C02CF771BA78}" destId="{F7FDFD22-E9B9-453B-AFC5-19DA41875544}" srcOrd="0" destOrd="0" presId="urn:microsoft.com/office/officeart/2005/8/layout/orgChart1"/>
    <dgm:cxn modelId="{474BC716-8E3A-4C04-8D79-D646BD134ED0}" type="presParOf" srcId="{245BB9C8-BB27-4140-832C-C02CF771BA78}" destId="{A0D9892B-5A22-4162-8B10-B681BCAC2335}" srcOrd="1" destOrd="0" presId="urn:microsoft.com/office/officeart/2005/8/layout/orgChart1"/>
    <dgm:cxn modelId="{44E46B07-FBAF-4031-AB01-2CA5E369C176}" type="presParOf" srcId="{87E8F7D6-7FEA-4A0B-8172-E2B574B3CC33}" destId="{8663888B-2BA5-4CDF-AADD-99EFBF689DBD}" srcOrd="1" destOrd="0" presId="urn:microsoft.com/office/officeart/2005/8/layout/orgChart1"/>
    <dgm:cxn modelId="{7A931A4C-26D8-4F4C-BDE1-E309789531AF}" type="presParOf" srcId="{8663888B-2BA5-4CDF-AADD-99EFBF689DBD}" destId="{B1335B4F-1103-4BCB-A00E-16B6A60F8564}" srcOrd="0" destOrd="0" presId="urn:microsoft.com/office/officeart/2005/8/layout/orgChart1"/>
    <dgm:cxn modelId="{D765FF87-272E-4E65-950F-943E0FC4D05F}" type="presParOf" srcId="{8663888B-2BA5-4CDF-AADD-99EFBF689DBD}" destId="{6364282A-1D30-4D5B-A978-680A0A230143}" srcOrd="1" destOrd="0" presId="urn:microsoft.com/office/officeart/2005/8/layout/orgChart1"/>
    <dgm:cxn modelId="{30ABE6AA-DF1A-4E63-948E-B753566038E4}" type="presParOf" srcId="{6364282A-1D30-4D5B-A978-680A0A230143}" destId="{8D9CE445-E503-42CD-B74A-5629EC7EB91C}" srcOrd="0" destOrd="0" presId="urn:microsoft.com/office/officeart/2005/8/layout/orgChart1"/>
    <dgm:cxn modelId="{1C681F4A-0750-4896-9994-4DE7AB4B8A6E}" type="presParOf" srcId="{8D9CE445-E503-42CD-B74A-5629EC7EB91C}" destId="{98635E63-D08B-443D-A7B8-991D83873676}" srcOrd="0" destOrd="0" presId="urn:microsoft.com/office/officeart/2005/8/layout/orgChart1"/>
    <dgm:cxn modelId="{E078FD81-FB89-4BBE-BA23-5F2AB3DBDF71}" type="presParOf" srcId="{8D9CE445-E503-42CD-B74A-5629EC7EB91C}" destId="{F71224A8-ACCD-4895-A731-85DCA6D569ED}" srcOrd="1" destOrd="0" presId="urn:microsoft.com/office/officeart/2005/8/layout/orgChart1"/>
    <dgm:cxn modelId="{DEA7CDAE-4C4C-4A2C-8342-238FD2D33F63}" type="presParOf" srcId="{6364282A-1D30-4D5B-A978-680A0A230143}" destId="{4C6C5E3C-0791-4D70-99A2-469C0B46EFC1}" srcOrd="1" destOrd="0" presId="urn:microsoft.com/office/officeart/2005/8/layout/orgChart1"/>
    <dgm:cxn modelId="{48EFF5DD-5BA8-450C-B03D-79F8BA1443A6}" type="presParOf" srcId="{6364282A-1D30-4D5B-A978-680A0A230143}" destId="{CD262267-C084-4A74-BF8A-0DD51D18B6C8}" srcOrd="2" destOrd="0" presId="urn:microsoft.com/office/officeart/2005/8/layout/orgChart1"/>
    <dgm:cxn modelId="{FA12BC6E-65FE-4F02-9092-D35A723C1D2D}" type="presParOf" srcId="{8663888B-2BA5-4CDF-AADD-99EFBF689DBD}" destId="{18C7F633-FF25-4B4E-95EE-D064E36269C0}" srcOrd="2" destOrd="0" presId="urn:microsoft.com/office/officeart/2005/8/layout/orgChart1"/>
    <dgm:cxn modelId="{DB02A396-D414-49DA-965B-3CF778EE7366}" type="presParOf" srcId="{8663888B-2BA5-4CDF-AADD-99EFBF689DBD}" destId="{BD97EF7B-693E-4164-AF75-2436A1F17EE9}" srcOrd="3" destOrd="0" presId="urn:microsoft.com/office/officeart/2005/8/layout/orgChart1"/>
    <dgm:cxn modelId="{44789EFC-BF3F-4BF7-9C38-CFB1A2D59AE8}" type="presParOf" srcId="{BD97EF7B-693E-4164-AF75-2436A1F17EE9}" destId="{D677E695-F0D0-4D67-BD09-D07A06426E93}" srcOrd="0" destOrd="0" presId="urn:microsoft.com/office/officeart/2005/8/layout/orgChart1"/>
    <dgm:cxn modelId="{28E587F5-C93B-4D0D-8B2E-0D607C1AA4F2}" type="presParOf" srcId="{D677E695-F0D0-4D67-BD09-D07A06426E93}" destId="{D440159E-E985-4C77-AF65-E9414A6578AE}" srcOrd="0" destOrd="0" presId="urn:microsoft.com/office/officeart/2005/8/layout/orgChart1"/>
    <dgm:cxn modelId="{28BD600F-AD02-4B86-8C44-7A31A348B4DC}" type="presParOf" srcId="{D677E695-F0D0-4D67-BD09-D07A06426E93}" destId="{EEDD93FC-0386-48CA-8279-C8F566D62129}" srcOrd="1" destOrd="0" presId="urn:microsoft.com/office/officeart/2005/8/layout/orgChart1"/>
    <dgm:cxn modelId="{0497C47F-98A4-4ECA-BF7D-085C748C1F7D}" type="presParOf" srcId="{BD97EF7B-693E-4164-AF75-2436A1F17EE9}" destId="{98BA9030-87C6-4B5F-9B69-33BDB1E6424E}" srcOrd="1" destOrd="0" presId="urn:microsoft.com/office/officeart/2005/8/layout/orgChart1"/>
    <dgm:cxn modelId="{B89D252E-CFF4-44FB-9241-8DDA5274D552}" type="presParOf" srcId="{BD97EF7B-693E-4164-AF75-2436A1F17EE9}" destId="{43E850C2-7927-4A08-9670-C5B3E8CAE7ED}" srcOrd="2" destOrd="0" presId="urn:microsoft.com/office/officeart/2005/8/layout/orgChart1"/>
    <dgm:cxn modelId="{D2E115A2-FA70-44D7-9A9F-B10EAD700970}" type="presParOf" srcId="{8663888B-2BA5-4CDF-AADD-99EFBF689DBD}" destId="{A5E5CA5F-4423-4EEB-A2AC-9E4EFF47ECFC}" srcOrd="4" destOrd="0" presId="urn:microsoft.com/office/officeart/2005/8/layout/orgChart1"/>
    <dgm:cxn modelId="{410A4C49-0010-414C-B900-C1D9378B47F1}" type="presParOf" srcId="{8663888B-2BA5-4CDF-AADD-99EFBF689DBD}" destId="{FD25AD94-F928-4230-8A22-853551FE23B4}" srcOrd="5" destOrd="0" presId="urn:microsoft.com/office/officeart/2005/8/layout/orgChart1"/>
    <dgm:cxn modelId="{8F11326C-05A7-4414-9EB5-D504641DD403}" type="presParOf" srcId="{FD25AD94-F928-4230-8A22-853551FE23B4}" destId="{A43BC864-8575-4B41-AD33-CD41D4C63AF0}" srcOrd="0" destOrd="0" presId="urn:microsoft.com/office/officeart/2005/8/layout/orgChart1"/>
    <dgm:cxn modelId="{7618E90A-8210-4C31-BBF3-2D2E8EF24D01}" type="presParOf" srcId="{A43BC864-8575-4B41-AD33-CD41D4C63AF0}" destId="{23D87327-71F4-48D0-986F-7F66A9CA5030}" srcOrd="0" destOrd="0" presId="urn:microsoft.com/office/officeart/2005/8/layout/orgChart1"/>
    <dgm:cxn modelId="{04DFC078-DE17-486D-BBBC-B66C025C4C5B}" type="presParOf" srcId="{A43BC864-8575-4B41-AD33-CD41D4C63AF0}" destId="{8CE87225-3583-408B-A41F-ED083B43C87C}" srcOrd="1" destOrd="0" presId="urn:microsoft.com/office/officeart/2005/8/layout/orgChart1"/>
    <dgm:cxn modelId="{2C0F4F3D-01D7-4067-93BC-5E8718A1408A}" type="presParOf" srcId="{FD25AD94-F928-4230-8A22-853551FE23B4}" destId="{C047DD7A-EB76-4608-B25E-66E809C3EA1A}" srcOrd="1" destOrd="0" presId="urn:microsoft.com/office/officeart/2005/8/layout/orgChart1"/>
    <dgm:cxn modelId="{650C2CB3-18FA-499A-A82E-228EC809B000}" type="presParOf" srcId="{FD25AD94-F928-4230-8A22-853551FE23B4}" destId="{EA23FE47-CC19-4457-A5E0-19698EA68CA6}" srcOrd="2" destOrd="0" presId="urn:microsoft.com/office/officeart/2005/8/layout/orgChart1"/>
    <dgm:cxn modelId="{2BF2A576-0456-4163-8170-5796AFFF5252}" type="presParOf" srcId="{87E8F7D6-7FEA-4A0B-8172-E2B574B3CC33}" destId="{EAB3BAB3-FD21-49DA-8368-BF8A3B6AB8FC}" srcOrd="2" destOrd="0" presId="urn:microsoft.com/office/officeart/2005/8/layout/orgChart1"/>
    <dgm:cxn modelId="{5293B140-6203-4B7D-9D21-CBA3CF37C2B5}" type="presParOf" srcId="{39B157A7-232F-4B4B-9C8C-698FDA17D505}" destId="{32B9F103-1A4A-48AD-A261-FD9EFC1C058C}" srcOrd="4" destOrd="0" presId="urn:microsoft.com/office/officeart/2005/8/layout/orgChart1"/>
    <dgm:cxn modelId="{1DCBA834-752A-4C22-BEAD-831EED35481D}" type="presParOf" srcId="{39B157A7-232F-4B4B-9C8C-698FDA17D505}" destId="{70DB7A7C-D937-4357-B588-8D7C5E29BCD8}" srcOrd="5" destOrd="0" presId="urn:microsoft.com/office/officeart/2005/8/layout/orgChart1"/>
    <dgm:cxn modelId="{92D686F2-4D35-4FEE-A029-6EE79DBF9EC6}" type="presParOf" srcId="{70DB7A7C-D937-4357-B588-8D7C5E29BCD8}" destId="{4BA82F0F-40E0-45B7-B2F2-7C1DCCEDE7E8}" srcOrd="0" destOrd="0" presId="urn:microsoft.com/office/officeart/2005/8/layout/orgChart1"/>
    <dgm:cxn modelId="{5BE305E5-C3EA-48D1-9BC7-FF61E62EADA1}" type="presParOf" srcId="{4BA82F0F-40E0-45B7-B2F2-7C1DCCEDE7E8}" destId="{705E3CF3-AD29-44CF-8A21-A256A4236ECA}" srcOrd="0" destOrd="0" presId="urn:microsoft.com/office/officeart/2005/8/layout/orgChart1"/>
    <dgm:cxn modelId="{07CE7AF1-F8D3-4270-9247-5768DDD352AB}" type="presParOf" srcId="{4BA82F0F-40E0-45B7-B2F2-7C1DCCEDE7E8}" destId="{A1288FD9-0836-4D08-B58F-EF9A3506BE74}" srcOrd="1" destOrd="0" presId="urn:microsoft.com/office/officeart/2005/8/layout/orgChart1"/>
    <dgm:cxn modelId="{3D81EF37-91DC-4239-BFAB-2B6D8E0C3B6E}" type="presParOf" srcId="{70DB7A7C-D937-4357-B588-8D7C5E29BCD8}" destId="{7FC59485-D972-453A-9EDF-6A68C7389277}" srcOrd="1" destOrd="0" presId="urn:microsoft.com/office/officeart/2005/8/layout/orgChart1"/>
    <dgm:cxn modelId="{8AA4BBC8-521D-45D9-953B-289D0D12AE84}" type="presParOf" srcId="{7FC59485-D972-453A-9EDF-6A68C7389277}" destId="{BB9FFEFF-B0D3-4A0B-A51E-267D70B7FE65}" srcOrd="0" destOrd="0" presId="urn:microsoft.com/office/officeart/2005/8/layout/orgChart1"/>
    <dgm:cxn modelId="{BF13B6CF-B1CF-4698-81BB-72B5753E75EC}" type="presParOf" srcId="{7FC59485-D972-453A-9EDF-6A68C7389277}" destId="{807CAB8D-F3F7-4C90-894E-AE2D1E7945B4}" srcOrd="1" destOrd="0" presId="urn:microsoft.com/office/officeart/2005/8/layout/orgChart1"/>
    <dgm:cxn modelId="{73343959-D842-424C-980C-1C0234C67559}" type="presParOf" srcId="{807CAB8D-F3F7-4C90-894E-AE2D1E7945B4}" destId="{EA25C0A9-F8BE-43B7-BA82-DD906A5C444B}" srcOrd="0" destOrd="0" presId="urn:microsoft.com/office/officeart/2005/8/layout/orgChart1"/>
    <dgm:cxn modelId="{5908128D-ABD7-4FF0-A680-74FE8028357B}" type="presParOf" srcId="{EA25C0A9-F8BE-43B7-BA82-DD906A5C444B}" destId="{38B49250-75E7-4441-9A27-39B3670C462C}" srcOrd="0" destOrd="0" presId="urn:microsoft.com/office/officeart/2005/8/layout/orgChart1"/>
    <dgm:cxn modelId="{9C84463D-F687-4545-AB27-8A58B17D3672}" type="presParOf" srcId="{EA25C0A9-F8BE-43B7-BA82-DD906A5C444B}" destId="{D8EC790C-3954-49D7-A280-41D6C40FFE73}" srcOrd="1" destOrd="0" presId="urn:microsoft.com/office/officeart/2005/8/layout/orgChart1"/>
    <dgm:cxn modelId="{89893BC7-846E-485F-B601-72B4AEEDB353}" type="presParOf" srcId="{807CAB8D-F3F7-4C90-894E-AE2D1E7945B4}" destId="{A094F31E-453A-4A79-BD11-1671E43A4085}" srcOrd="1" destOrd="0" presId="urn:microsoft.com/office/officeart/2005/8/layout/orgChart1"/>
    <dgm:cxn modelId="{8A1157FA-C05A-4F82-AE13-0A30FB570272}" type="presParOf" srcId="{807CAB8D-F3F7-4C90-894E-AE2D1E7945B4}" destId="{613DEC30-4868-4AB1-A759-82D1C7B55D3F}" srcOrd="2" destOrd="0" presId="urn:microsoft.com/office/officeart/2005/8/layout/orgChart1"/>
    <dgm:cxn modelId="{BBD81F51-A914-479F-A957-568258260480}" type="presParOf" srcId="{7FC59485-D972-453A-9EDF-6A68C7389277}" destId="{974B0D7E-7957-487C-9B92-0E69086768E0}" srcOrd="2" destOrd="0" presId="urn:microsoft.com/office/officeart/2005/8/layout/orgChart1"/>
    <dgm:cxn modelId="{8FBC4913-06E1-49B4-900E-394F8987060A}" type="presParOf" srcId="{7FC59485-D972-453A-9EDF-6A68C7389277}" destId="{E22E4FD7-A3E4-4976-B8F6-961D1D0F988A}" srcOrd="3" destOrd="0" presId="urn:microsoft.com/office/officeart/2005/8/layout/orgChart1"/>
    <dgm:cxn modelId="{D54ED509-077C-427A-A0B1-F0EFB58C2117}" type="presParOf" srcId="{E22E4FD7-A3E4-4976-B8F6-961D1D0F988A}" destId="{16ACD057-5A34-4D42-8A1E-7542DB48C5CA}" srcOrd="0" destOrd="0" presId="urn:microsoft.com/office/officeart/2005/8/layout/orgChart1"/>
    <dgm:cxn modelId="{2D31E313-AD64-4CEC-BB2A-F48BB6E98EA7}" type="presParOf" srcId="{16ACD057-5A34-4D42-8A1E-7542DB48C5CA}" destId="{9BCCBE2B-EE0E-4E62-84A7-131453F261FE}" srcOrd="0" destOrd="0" presId="urn:microsoft.com/office/officeart/2005/8/layout/orgChart1"/>
    <dgm:cxn modelId="{6E89DD0D-D0C6-47E1-A058-85E75BB9799B}" type="presParOf" srcId="{16ACD057-5A34-4D42-8A1E-7542DB48C5CA}" destId="{A70949CB-4168-4606-843C-8175816B3EF1}" srcOrd="1" destOrd="0" presId="urn:microsoft.com/office/officeart/2005/8/layout/orgChart1"/>
    <dgm:cxn modelId="{E487FCA6-F09B-44A7-AFC0-CACA17A4639C}" type="presParOf" srcId="{E22E4FD7-A3E4-4976-B8F6-961D1D0F988A}" destId="{68781E69-EFCC-4373-B4DB-1B86BA1BC855}" srcOrd="1" destOrd="0" presId="urn:microsoft.com/office/officeart/2005/8/layout/orgChart1"/>
    <dgm:cxn modelId="{623F8C78-B5A9-41DD-A084-9B103023506C}" type="presParOf" srcId="{E22E4FD7-A3E4-4976-B8F6-961D1D0F988A}" destId="{CC89EB87-0149-45B0-ADA3-8E8A893F098A}" srcOrd="2" destOrd="0" presId="urn:microsoft.com/office/officeart/2005/8/layout/orgChart1"/>
    <dgm:cxn modelId="{AB4E39B4-77FC-4C20-93BA-307FD43A9B7B}" type="presParOf" srcId="{7FC59485-D972-453A-9EDF-6A68C7389277}" destId="{FBBDFE6B-AD7D-4798-860C-DB8419454856}" srcOrd="4" destOrd="0" presId="urn:microsoft.com/office/officeart/2005/8/layout/orgChart1"/>
    <dgm:cxn modelId="{156A829B-4B6E-4EBB-BD8F-7B35310D340D}" type="presParOf" srcId="{7FC59485-D972-453A-9EDF-6A68C7389277}" destId="{30582549-18BA-4D49-81B7-356A9CC0E7F2}" srcOrd="5" destOrd="0" presId="urn:microsoft.com/office/officeart/2005/8/layout/orgChart1"/>
    <dgm:cxn modelId="{BBC38352-110B-4396-9155-A410D1B4BB41}" type="presParOf" srcId="{30582549-18BA-4D49-81B7-356A9CC0E7F2}" destId="{D981A5B1-268E-4079-8FDB-758380DB5EFE}" srcOrd="0" destOrd="0" presId="urn:microsoft.com/office/officeart/2005/8/layout/orgChart1"/>
    <dgm:cxn modelId="{E0C6A14C-0EF2-41C5-9251-9A7B1484AE6F}" type="presParOf" srcId="{D981A5B1-268E-4079-8FDB-758380DB5EFE}" destId="{7D351816-7249-4C05-91C0-3491952B7781}" srcOrd="0" destOrd="0" presId="urn:microsoft.com/office/officeart/2005/8/layout/orgChart1"/>
    <dgm:cxn modelId="{3610D220-B75C-4452-AE86-6B030C98739A}" type="presParOf" srcId="{D981A5B1-268E-4079-8FDB-758380DB5EFE}" destId="{B3D4DF73-816E-4C40-B28B-58A80B7C46D8}" srcOrd="1" destOrd="0" presId="urn:microsoft.com/office/officeart/2005/8/layout/orgChart1"/>
    <dgm:cxn modelId="{8DBB6D2D-7CCB-44D5-890A-79ED86B3A7A1}" type="presParOf" srcId="{30582549-18BA-4D49-81B7-356A9CC0E7F2}" destId="{40E39054-B53A-411C-993D-E887D4880213}" srcOrd="1" destOrd="0" presId="urn:microsoft.com/office/officeart/2005/8/layout/orgChart1"/>
    <dgm:cxn modelId="{82413F78-AE6C-4EE5-9FDF-D4A2249B5FC7}" type="presParOf" srcId="{30582549-18BA-4D49-81B7-356A9CC0E7F2}" destId="{DA4C10AB-B255-44A7-8324-6DBC58A9A3F3}" srcOrd="2" destOrd="0" presId="urn:microsoft.com/office/officeart/2005/8/layout/orgChart1"/>
    <dgm:cxn modelId="{2DC01AB6-7C0F-461D-991C-E8571B0B5730}" type="presParOf" srcId="{70DB7A7C-D937-4357-B588-8D7C5E29BCD8}" destId="{4FA35EA7-6503-42F5-8D6D-461EDF98637D}" srcOrd="2" destOrd="0" presId="urn:microsoft.com/office/officeart/2005/8/layout/orgChart1"/>
    <dgm:cxn modelId="{B7D761E3-A847-4C30-84A3-CDF2F81FB978}" type="presParOf" srcId="{0B7AC5A3-C251-4ACD-AFC5-DB05A39ED77E}" destId="{8603CFBF-FFAD-4383-80C9-2020ABF273C6}" srcOrd="2" destOrd="0" presId="urn:microsoft.com/office/officeart/2005/8/layout/orgChart1"/>
    <dgm:cxn modelId="{6E2D2DA7-CFDD-4588-B589-5BA45048D0D5}" type="presParOf" srcId="{B6F86005-D4FC-47D2-B42F-6EB5D7A99451}" destId="{42D1CD4D-6371-47E3-AD76-B055C32C7936}" srcOrd="2" destOrd="0" presId="urn:microsoft.com/office/officeart/2005/8/layout/orgChart1"/>
    <dgm:cxn modelId="{FA750705-6C77-473B-AB49-5ACF71A40637}" type="presParOf" srcId="{6DE94ADC-319E-4C5E-823C-F2CBE9684D16}" destId="{CCFAF1FE-D601-43D2-B746-99CCF93235F5}" srcOrd="2" destOrd="0" presId="urn:microsoft.com/office/officeart/2005/8/layout/orgChart1"/>
    <dgm:cxn modelId="{D14C9C6A-8FED-4112-826D-896C3549DF66}" type="presParOf" srcId="{CCFAF1FE-D601-43D2-B746-99CCF93235F5}" destId="{17AEB549-04BA-435B-8AC8-A5313E812A0F}" srcOrd="0" destOrd="0" presId="urn:microsoft.com/office/officeart/2005/8/layout/orgChart1"/>
    <dgm:cxn modelId="{0ACED302-302D-452F-A920-41B6264A8419}" type="presParOf" srcId="{17AEB549-04BA-435B-8AC8-A5313E812A0F}" destId="{ADEAA3FF-F634-47DE-8844-A10560CC1EC8}" srcOrd="0" destOrd="0" presId="urn:microsoft.com/office/officeart/2005/8/layout/orgChart1"/>
    <dgm:cxn modelId="{B60EB281-8212-4395-A4FD-E076059D5FEB}" type="presParOf" srcId="{17AEB549-04BA-435B-8AC8-A5313E812A0F}" destId="{9EBC3719-E547-4EED-BC48-5ABB36AD76E8}" srcOrd="1" destOrd="0" presId="urn:microsoft.com/office/officeart/2005/8/layout/orgChart1"/>
    <dgm:cxn modelId="{C3D36B1B-BE0A-468A-83B5-5BB2EF4D75B0}" type="presParOf" srcId="{CCFAF1FE-D601-43D2-B746-99CCF93235F5}" destId="{5CA23256-78E6-4901-85A8-D4DF56D8976F}" srcOrd="1" destOrd="0" presId="urn:microsoft.com/office/officeart/2005/8/layout/orgChart1"/>
    <dgm:cxn modelId="{0129D6F4-DAB8-49A1-B952-B99C472044CF}" type="presParOf" srcId="{5CA23256-78E6-4901-85A8-D4DF56D8976F}" destId="{A11ADAF4-52D0-4FE7-AB3A-790ECB2379B7}" srcOrd="0" destOrd="0" presId="urn:microsoft.com/office/officeart/2005/8/layout/orgChart1"/>
    <dgm:cxn modelId="{8C646071-B949-4E7E-8125-BF08EA9BECD7}" type="presParOf" srcId="{5CA23256-78E6-4901-85A8-D4DF56D8976F}" destId="{6F8844CE-B8C8-4B93-811F-1A09CD6A81F5}" srcOrd="1" destOrd="0" presId="urn:microsoft.com/office/officeart/2005/8/layout/orgChart1"/>
    <dgm:cxn modelId="{35369E51-BAB6-4F2B-A876-F0C842B69458}" type="presParOf" srcId="{6F8844CE-B8C8-4B93-811F-1A09CD6A81F5}" destId="{8D893046-EDBB-426F-8359-08A05B805282}" srcOrd="0" destOrd="0" presId="urn:microsoft.com/office/officeart/2005/8/layout/orgChart1"/>
    <dgm:cxn modelId="{9C19424B-FDBD-464F-B193-93213C058D75}" type="presParOf" srcId="{8D893046-EDBB-426F-8359-08A05B805282}" destId="{8B66C7DD-A74C-42D6-9053-6474A7B6F3F7}" srcOrd="0" destOrd="0" presId="urn:microsoft.com/office/officeart/2005/8/layout/orgChart1"/>
    <dgm:cxn modelId="{BE90E92F-768A-4265-868D-0C7D76B87CC9}" type="presParOf" srcId="{8D893046-EDBB-426F-8359-08A05B805282}" destId="{BC04273A-8A7F-4612-9123-AD3244BE082A}" srcOrd="1" destOrd="0" presId="urn:microsoft.com/office/officeart/2005/8/layout/orgChart1"/>
    <dgm:cxn modelId="{A94D9FF2-45D3-4DAF-8913-6E86D2267C2E}" type="presParOf" srcId="{6F8844CE-B8C8-4B93-811F-1A09CD6A81F5}" destId="{8ACE176B-EF59-4E77-8456-8BCE120FCCC4}" srcOrd="1" destOrd="0" presId="urn:microsoft.com/office/officeart/2005/8/layout/orgChart1"/>
    <dgm:cxn modelId="{ADD032CA-2E97-4E45-B312-6E3027866211}" type="presParOf" srcId="{8ACE176B-EF59-4E77-8456-8BCE120FCCC4}" destId="{83ED4CD0-FD22-4558-AB63-ECFD37A6F7FB}" srcOrd="0" destOrd="0" presId="urn:microsoft.com/office/officeart/2005/8/layout/orgChart1"/>
    <dgm:cxn modelId="{A804F080-CD38-44CB-85E9-3FAA3B0A8071}" type="presParOf" srcId="{8ACE176B-EF59-4E77-8456-8BCE120FCCC4}" destId="{72DC47AE-46FB-4A6D-BA77-8007F3609071}" srcOrd="1" destOrd="0" presId="urn:microsoft.com/office/officeart/2005/8/layout/orgChart1"/>
    <dgm:cxn modelId="{FF91AA38-72D8-494C-AE63-CC2F98A98F8D}" type="presParOf" srcId="{72DC47AE-46FB-4A6D-BA77-8007F3609071}" destId="{E0919611-7787-4B87-8C1B-482242C74797}" srcOrd="0" destOrd="0" presId="urn:microsoft.com/office/officeart/2005/8/layout/orgChart1"/>
    <dgm:cxn modelId="{3018F4CC-BA43-4458-8B5E-7126A70AB28B}" type="presParOf" srcId="{E0919611-7787-4B87-8C1B-482242C74797}" destId="{DADE0B48-34D6-4A90-B868-AC45CED4B994}" srcOrd="0" destOrd="0" presId="urn:microsoft.com/office/officeart/2005/8/layout/orgChart1"/>
    <dgm:cxn modelId="{F4FFE704-2C8B-49A7-8B4B-7385BE81B912}" type="presParOf" srcId="{E0919611-7787-4B87-8C1B-482242C74797}" destId="{22193A27-4D0B-4A38-8C4D-9CB3FA74BB9B}" srcOrd="1" destOrd="0" presId="urn:microsoft.com/office/officeart/2005/8/layout/orgChart1"/>
    <dgm:cxn modelId="{1D97E90D-FB05-42E4-85C6-0DA394806979}" type="presParOf" srcId="{72DC47AE-46FB-4A6D-BA77-8007F3609071}" destId="{F79B2ECB-0F2C-4FDE-A51A-9427BEAE602E}" srcOrd="1" destOrd="0" presId="urn:microsoft.com/office/officeart/2005/8/layout/orgChart1"/>
    <dgm:cxn modelId="{1D77727F-B502-43D3-8407-99396C501B21}" type="presParOf" srcId="{72DC47AE-46FB-4A6D-BA77-8007F3609071}" destId="{EAA00EDB-D08D-4931-9806-4DB24F0CFBC2}" srcOrd="2" destOrd="0" presId="urn:microsoft.com/office/officeart/2005/8/layout/orgChart1"/>
    <dgm:cxn modelId="{685AD3A4-607B-4C36-907D-D82A6918D51A}" type="presParOf" srcId="{8ACE176B-EF59-4E77-8456-8BCE120FCCC4}" destId="{174E4B96-9907-484D-AF03-FD9780FF466C}" srcOrd="2" destOrd="0" presId="urn:microsoft.com/office/officeart/2005/8/layout/orgChart1"/>
    <dgm:cxn modelId="{26484022-A153-4442-A9F3-7781866BC84D}" type="presParOf" srcId="{8ACE176B-EF59-4E77-8456-8BCE120FCCC4}" destId="{0E612A0E-E657-4DF8-97F8-7DB2BA0CDC9A}" srcOrd="3" destOrd="0" presId="urn:microsoft.com/office/officeart/2005/8/layout/orgChart1"/>
    <dgm:cxn modelId="{8514F146-5479-4463-86E6-1F90002A911B}" type="presParOf" srcId="{0E612A0E-E657-4DF8-97F8-7DB2BA0CDC9A}" destId="{0AD561A5-519F-4056-B7CA-2C4E9D6F271C}" srcOrd="0" destOrd="0" presId="urn:microsoft.com/office/officeart/2005/8/layout/orgChart1"/>
    <dgm:cxn modelId="{2EDFD144-DE85-4213-88C0-735FE1984217}" type="presParOf" srcId="{0AD561A5-519F-4056-B7CA-2C4E9D6F271C}" destId="{A61B1158-AD48-4FDE-9AD6-9D79FABF5551}" srcOrd="0" destOrd="0" presId="urn:microsoft.com/office/officeart/2005/8/layout/orgChart1"/>
    <dgm:cxn modelId="{433797AB-225C-4F5B-A359-2356ED2BAFD5}" type="presParOf" srcId="{0AD561A5-519F-4056-B7CA-2C4E9D6F271C}" destId="{AFD7BDD0-23CF-42B8-9B4A-480A76322345}" srcOrd="1" destOrd="0" presId="urn:microsoft.com/office/officeart/2005/8/layout/orgChart1"/>
    <dgm:cxn modelId="{54749625-D3C4-4E69-9229-CB784BDF7D4A}" type="presParOf" srcId="{0E612A0E-E657-4DF8-97F8-7DB2BA0CDC9A}" destId="{64B12C87-6FA9-4184-A33F-0F66B6FC176A}" srcOrd="1" destOrd="0" presId="urn:microsoft.com/office/officeart/2005/8/layout/orgChart1"/>
    <dgm:cxn modelId="{DF030E16-14E1-4B94-B6A4-B1E6CA62A885}" type="presParOf" srcId="{0E612A0E-E657-4DF8-97F8-7DB2BA0CDC9A}" destId="{21E2AAE5-3A75-4ABA-86C4-F80AD7B21CE7}" srcOrd="2" destOrd="0" presId="urn:microsoft.com/office/officeart/2005/8/layout/orgChart1"/>
    <dgm:cxn modelId="{28A0445B-E2E2-4CB4-80B9-94CA8989DCDB}" type="presParOf" srcId="{8ACE176B-EF59-4E77-8456-8BCE120FCCC4}" destId="{BF23AE5C-3AF7-473A-AF77-17042B1E7748}" srcOrd="4" destOrd="0" presId="urn:microsoft.com/office/officeart/2005/8/layout/orgChart1"/>
    <dgm:cxn modelId="{C3E094D4-0EDE-45CC-B577-837B448F38DD}" type="presParOf" srcId="{8ACE176B-EF59-4E77-8456-8BCE120FCCC4}" destId="{D1EF53E2-1338-4D56-9FE1-136E8C880094}" srcOrd="5" destOrd="0" presId="urn:microsoft.com/office/officeart/2005/8/layout/orgChart1"/>
    <dgm:cxn modelId="{0ABA7186-7718-4F8B-8EC1-3D393CDE2474}" type="presParOf" srcId="{D1EF53E2-1338-4D56-9FE1-136E8C880094}" destId="{82FEFB18-D4F8-4913-82E4-80B5B6FDDF11}" srcOrd="0" destOrd="0" presId="urn:microsoft.com/office/officeart/2005/8/layout/orgChart1"/>
    <dgm:cxn modelId="{2FAFF075-0A34-4561-ACC7-D9025F10161C}" type="presParOf" srcId="{82FEFB18-D4F8-4913-82E4-80B5B6FDDF11}" destId="{436B62E2-FB7F-4E75-8F1D-09D806E30211}" srcOrd="0" destOrd="0" presId="urn:microsoft.com/office/officeart/2005/8/layout/orgChart1"/>
    <dgm:cxn modelId="{3C5655D5-1A6F-4802-B2A5-45E01ACBC7D2}" type="presParOf" srcId="{82FEFB18-D4F8-4913-82E4-80B5B6FDDF11}" destId="{7F6D4C22-24BE-4C4A-A536-636EFFE5A292}" srcOrd="1" destOrd="0" presId="urn:microsoft.com/office/officeart/2005/8/layout/orgChart1"/>
    <dgm:cxn modelId="{92E36D54-323A-4236-AAB3-74ECA1CC1B0D}" type="presParOf" srcId="{D1EF53E2-1338-4D56-9FE1-136E8C880094}" destId="{249ED8C9-7A10-4718-90C3-F740069B2972}" srcOrd="1" destOrd="0" presId="urn:microsoft.com/office/officeart/2005/8/layout/orgChart1"/>
    <dgm:cxn modelId="{8A03949B-9F6A-4F17-A35F-DBF07F51E40E}" type="presParOf" srcId="{D1EF53E2-1338-4D56-9FE1-136E8C880094}" destId="{739292A3-8036-4337-A795-7BBEA4624E97}" srcOrd="2" destOrd="0" presId="urn:microsoft.com/office/officeart/2005/8/layout/orgChart1"/>
    <dgm:cxn modelId="{BCF3DE44-C969-4243-B4CB-40A3CF06D79F}" type="presParOf" srcId="{8ACE176B-EF59-4E77-8456-8BCE120FCCC4}" destId="{E2B97565-E678-48B0-8551-E3044FD845C5}" srcOrd="6" destOrd="0" presId="urn:microsoft.com/office/officeart/2005/8/layout/orgChart1"/>
    <dgm:cxn modelId="{66A4D7D7-38A7-4F60-AEDE-F3A74A8763AE}" type="presParOf" srcId="{8ACE176B-EF59-4E77-8456-8BCE120FCCC4}" destId="{3FCBCCEB-5FC9-4E65-9E0A-10538D17E084}" srcOrd="7" destOrd="0" presId="urn:microsoft.com/office/officeart/2005/8/layout/orgChart1"/>
    <dgm:cxn modelId="{F75ADA8D-52DE-4AEC-AFCC-3CC3F22F489E}" type="presParOf" srcId="{3FCBCCEB-5FC9-4E65-9E0A-10538D17E084}" destId="{C4D43A5B-4D46-40DB-8586-E66AAEF55427}" srcOrd="0" destOrd="0" presId="urn:microsoft.com/office/officeart/2005/8/layout/orgChart1"/>
    <dgm:cxn modelId="{AE68FB71-7F7A-4E90-9DF7-81BE3E116391}" type="presParOf" srcId="{C4D43A5B-4D46-40DB-8586-E66AAEF55427}" destId="{0AD35396-15D9-47B2-9AD9-41BFAEE0D928}" srcOrd="0" destOrd="0" presId="urn:microsoft.com/office/officeart/2005/8/layout/orgChart1"/>
    <dgm:cxn modelId="{2E3DB51B-9394-450E-AB71-1F7E2808BA89}" type="presParOf" srcId="{C4D43A5B-4D46-40DB-8586-E66AAEF55427}" destId="{2A43BD9C-9759-4D65-846B-4530F5DD0CAD}" srcOrd="1" destOrd="0" presId="urn:microsoft.com/office/officeart/2005/8/layout/orgChart1"/>
    <dgm:cxn modelId="{5E2900E8-2C52-44B0-87C5-DFEBAB34E785}" type="presParOf" srcId="{3FCBCCEB-5FC9-4E65-9E0A-10538D17E084}" destId="{4A6416F3-5827-49A5-8B71-7EBE3790263B}" srcOrd="1" destOrd="0" presId="urn:microsoft.com/office/officeart/2005/8/layout/orgChart1"/>
    <dgm:cxn modelId="{D238DCC4-2706-4590-B738-F4F623A2CE1E}" type="presParOf" srcId="{3FCBCCEB-5FC9-4E65-9E0A-10538D17E084}" destId="{0C77F974-01FC-46BE-BF07-845A029A1BAB}" srcOrd="2" destOrd="0" presId="urn:microsoft.com/office/officeart/2005/8/layout/orgChart1"/>
    <dgm:cxn modelId="{CB71A063-BC9E-48A1-A807-18E3D7ED23C0}" type="presParOf" srcId="{6F8844CE-B8C8-4B93-811F-1A09CD6A81F5}" destId="{CEB43183-77C9-4BF0-831F-1595389A960F}" srcOrd="2" destOrd="0" presId="urn:microsoft.com/office/officeart/2005/8/layout/orgChart1"/>
    <dgm:cxn modelId="{7E3D558A-1FA1-4690-A5B9-BD435D6441CC}" type="presParOf" srcId="{5CA23256-78E6-4901-85A8-D4DF56D8976F}" destId="{B6D082AB-6FAB-4EAA-A2F9-1A63210DE847}" srcOrd="2" destOrd="0" presId="urn:microsoft.com/office/officeart/2005/8/layout/orgChart1"/>
    <dgm:cxn modelId="{6A685FE5-9F1F-4695-BA90-BC41EEB9F4B4}" type="presParOf" srcId="{5CA23256-78E6-4901-85A8-D4DF56D8976F}" destId="{B1FDC89D-54E6-443D-89C8-A2F7A81312F0}" srcOrd="3" destOrd="0" presId="urn:microsoft.com/office/officeart/2005/8/layout/orgChart1"/>
    <dgm:cxn modelId="{A5AC7C9A-1E63-428D-BBA6-3FB094FE5A51}" type="presParOf" srcId="{B1FDC89D-54E6-443D-89C8-A2F7A81312F0}" destId="{71C58B00-9F76-426C-88CA-CE255DAC47AD}" srcOrd="0" destOrd="0" presId="urn:microsoft.com/office/officeart/2005/8/layout/orgChart1"/>
    <dgm:cxn modelId="{0A0D48FA-A9BE-4F90-B098-F314442222D0}" type="presParOf" srcId="{71C58B00-9F76-426C-88CA-CE255DAC47AD}" destId="{05F683E2-330C-40C4-9190-E65F5EDC75CF}" srcOrd="0" destOrd="0" presId="urn:microsoft.com/office/officeart/2005/8/layout/orgChart1"/>
    <dgm:cxn modelId="{DE401CBB-9D14-40A4-B0DB-EC2E649A5A7F}" type="presParOf" srcId="{71C58B00-9F76-426C-88CA-CE255DAC47AD}" destId="{E4453D79-3E76-4223-B5D6-9ABF8BF1FBD5}" srcOrd="1" destOrd="0" presId="urn:microsoft.com/office/officeart/2005/8/layout/orgChart1"/>
    <dgm:cxn modelId="{7999B1F7-D6A0-4B83-BBCF-33DE9434EBA8}" type="presParOf" srcId="{B1FDC89D-54E6-443D-89C8-A2F7A81312F0}" destId="{3D0C0C4B-105D-4A65-9F6D-34101294A8CE}" srcOrd="1" destOrd="0" presId="urn:microsoft.com/office/officeart/2005/8/layout/orgChart1"/>
    <dgm:cxn modelId="{860C2F72-6294-4AFF-9FAF-AD1B78AB3D4C}" type="presParOf" srcId="{3D0C0C4B-105D-4A65-9F6D-34101294A8CE}" destId="{6A8EB647-D4D3-494A-9154-765638C60C1C}" srcOrd="0" destOrd="0" presId="urn:microsoft.com/office/officeart/2005/8/layout/orgChart1"/>
    <dgm:cxn modelId="{8F237BF1-7795-42E3-B460-2B005C8805D0}" type="presParOf" srcId="{3D0C0C4B-105D-4A65-9F6D-34101294A8CE}" destId="{074AD194-9050-4B0C-A6C2-71F29A3AFAA1}" srcOrd="1" destOrd="0" presId="urn:microsoft.com/office/officeart/2005/8/layout/orgChart1"/>
    <dgm:cxn modelId="{1538AE44-5D4D-42C3-88D0-741D6605A440}" type="presParOf" srcId="{074AD194-9050-4B0C-A6C2-71F29A3AFAA1}" destId="{4C760020-3D5A-4069-8A46-68ECC24FAC17}" srcOrd="0" destOrd="0" presId="urn:microsoft.com/office/officeart/2005/8/layout/orgChart1"/>
    <dgm:cxn modelId="{15BCB134-FECD-482A-B99B-8B1A874D336C}" type="presParOf" srcId="{4C760020-3D5A-4069-8A46-68ECC24FAC17}" destId="{A5DF8A86-0097-443C-87C2-CF899ADE7DE2}" srcOrd="0" destOrd="0" presId="urn:microsoft.com/office/officeart/2005/8/layout/orgChart1"/>
    <dgm:cxn modelId="{610DD95A-278D-4506-BF6D-43E5446340E6}" type="presParOf" srcId="{4C760020-3D5A-4069-8A46-68ECC24FAC17}" destId="{B8F8DC89-4AA2-4A80-B574-C97377A626D3}" srcOrd="1" destOrd="0" presId="urn:microsoft.com/office/officeart/2005/8/layout/orgChart1"/>
    <dgm:cxn modelId="{67B425AC-1B9D-4FBA-9A19-45439BACFE8C}" type="presParOf" srcId="{074AD194-9050-4B0C-A6C2-71F29A3AFAA1}" destId="{24173B0F-F66E-4830-8541-8517433D8E7E}" srcOrd="1" destOrd="0" presId="urn:microsoft.com/office/officeart/2005/8/layout/orgChart1"/>
    <dgm:cxn modelId="{D418DF72-4925-4691-88CC-F9EDCE39C71A}" type="presParOf" srcId="{074AD194-9050-4B0C-A6C2-71F29A3AFAA1}" destId="{0CFE3977-6177-4C74-997B-32DD60DB0A98}" srcOrd="2" destOrd="0" presId="urn:microsoft.com/office/officeart/2005/8/layout/orgChart1"/>
    <dgm:cxn modelId="{CA3EA3DF-1963-4424-928C-DDBE8AB1C2BC}" type="presParOf" srcId="{3D0C0C4B-105D-4A65-9F6D-34101294A8CE}" destId="{8A028E31-9872-4846-A415-D4FC3ADFCDE2}" srcOrd="2" destOrd="0" presId="urn:microsoft.com/office/officeart/2005/8/layout/orgChart1"/>
    <dgm:cxn modelId="{E937E817-AC96-4D0E-8A09-B330CFD32AC6}" type="presParOf" srcId="{3D0C0C4B-105D-4A65-9F6D-34101294A8CE}" destId="{D61AB23A-B0C2-4485-A05A-6995C59A1847}" srcOrd="3" destOrd="0" presId="urn:microsoft.com/office/officeart/2005/8/layout/orgChart1"/>
    <dgm:cxn modelId="{1D3B1CCD-6278-4CD0-BE18-9C607C4FBFB5}" type="presParOf" srcId="{D61AB23A-B0C2-4485-A05A-6995C59A1847}" destId="{7D3E59A4-2544-4BA4-8877-E320AA2FA982}" srcOrd="0" destOrd="0" presId="urn:microsoft.com/office/officeart/2005/8/layout/orgChart1"/>
    <dgm:cxn modelId="{8BD15EBA-ACBE-497B-A231-0BE5E3902BF1}" type="presParOf" srcId="{7D3E59A4-2544-4BA4-8877-E320AA2FA982}" destId="{C0C66002-6539-4A5A-A569-82420CBEF5EF}" srcOrd="0" destOrd="0" presId="urn:microsoft.com/office/officeart/2005/8/layout/orgChart1"/>
    <dgm:cxn modelId="{3F5F4872-B7F2-41E8-A0F1-E50BBF84BF8F}" type="presParOf" srcId="{7D3E59A4-2544-4BA4-8877-E320AA2FA982}" destId="{736BB68E-8D5F-423E-8086-56AAA42B40BA}" srcOrd="1" destOrd="0" presId="urn:microsoft.com/office/officeart/2005/8/layout/orgChart1"/>
    <dgm:cxn modelId="{7A07D64C-C86B-44B7-8E64-F64B4C67B2AF}" type="presParOf" srcId="{D61AB23A-B0C2-4485-A05A-6995C59A1847}" destId="{8CE75817-8B10-4760-A2F8-00E960CCD554}" srcOrd="1" destOrd="0" presId="urn:microsoft.com/office/officeart/2005/8/layout/orgChart1"/>
    <dgm:cxn modelId="{83825956-C6E9-4B41-9465-BF1140949DDB}" type="presParOf" srcId="{D61AB23A-B0C2-4485-A05A-6995C59A1847}" destId="{E85B01E7-D72D-4EC6-A559-3C87C20E46F0}" srcOrd="2" destOrd="0" presId="urn:microsoft.com/office/officeart/2005/8/layout/orgChart1"/>
    <dgm:cxn modelId="{B54AA910-F702-4D7E-9C1C-E8C809395419}" type="presParOf" srcId="{3D0C0C4B-105D-4A65-9F6D-34101294A8CE}" destId="{50EBA4E4-6A87-41AF-AA0F-FF08390666B4}" srcOrd="4" destOrd="0" presId="urn:microsoft.com/office/officeart/2005/8/layout/orgChart1"/>
    <dgm:cxn modelId="{B3CE6276-8445-4FB5-9132-60346EC78579}" type="presParOf" srcId="{3D0C0C4B-105D-4A65-9F6D-34101294A8CE}" destId="{6FBFB8D2-BCA9-4991-A061-EEB6F6025BA3}" srcOrd="5" destOrd="0" presId="urn:microsoft.com/office/officeart/2005/8/layout/orgChart1"/>
    <dgm:cxn modelId="{8FA08BBF-7BB6-4EC9-B17D-67426113CD98}" type="presParOf" srcId="{6FBFB8D2-BCA9-4991-A061-EEB6F6025BA3}" destId="{DE72C043-B23A-4395-88FF-66055F5052E8}" srcOrd="0" destOrd="0" presId="urn:microsoft.com/office/officeart/2005/8/layout/orgChart1"/>
    <dgm:cxn modelId="{3C626E5C-8A25-49A7-9BEB-71BFA2569B25}" type="presParOf" srcId="{DE72C043-B23A-4395-88FF-66055F5052E8}" destId="{0E86C646-21FD-4A5A-B8EB-13EEC8D4DB3B}" srcOrd="0" destOrd="0" presId="urn:microsoft.com/office/officeart/2005/8/layout/orgChart1"/>
    <dgm:cxn modelId="{03A42BDD-07CA-4ABD-9AF1-74861325D464}" type="presParOf" srcId="{DE72C043-B23A-4395-88FF-66055F5052E8}" destId="{AD8F9791-EE12-41A5-AB0C-AFE65584D927}" srcOrd="1" destOrd="0" presId="urn:microsoft.com/office/officeart/2005/8/layout/orgChart1"/>
    <dgm:cxn modelId="{10FD73CF-BB61-447F-B98A-74BF96EF59B8}" type="presParOf" srcId="{6FBFB8D2-BCA9-4991-A061-EEB6F6025BA3}" destId="{7AFE481B-05AA-4D01-AC65-697C94887CE2}" srcOrd="1" destOrd="0" presId="urn:microsoft.com/office/officeart/2005/8/layout/orgChart1"/>
    <dgm:cxn modelId="{9B26D80B-303A-47EE-A30B-90466C592D24}" type="presParOf" srcId="{6FBFB8D2-BCA9-4991-A061-EEB6F6025BA3}" destId="{2E730DDE-AFA9-4B5D-9FEC-AC663B25B0E3}" srcOrd="2" destOrd="0" presId="urn:microsoft.com/office/officeart/2005/8/layout/orgChart1"/>
    <dgm:cxn modelId="{CA0312FA-B93A-4D92-82CD-08B81FB46A5F}" type="presParOf" srcId="{B1FDC89D-54E6-443D-89C8-A2F7A81312F0}" destId="{EFCDAB5B-7FFA-438B-86E1-485C1F6A895A}" srcOrd="2" destOrd="0" presId="urn:microsoft.com/office/officeart/2005/8/layout/orgChart1"/>
    <dgm:cxn modelId="{3E1D2C6C-A0AB-4A2A-925A-558AA724892F}" type="presParOf" srcId="{5CA23256-78E6-4901-85A8-D4DF56D8976F}" destId="{55A2925D-E86E-42A8-B7FF-94E0195E5073}" srcOrd="4" destOrd="0" presId="urn:microsoft.com/office/officeart/2005/8/layout/orgChart1"/>
    <dgm:cxn modelId="{1ACED6CE-51B7-4B1D-A969-AED71DCC8E4D}" type="presParOf" srcId="{5CA23256-78E6-4901-85A8-D4DF56D8976F}" destId="{D85753EA-4CEA-4A4B-8A32-D3D43FA52063}" srcOrd="5" destOrd="0" presId="urn:microsoft.com/office/officeart/2005/8/layout/orgChart1"/>
    <dgm:cxn modelId="{23D3475D-8795-4D86-BF1E-7ABD0A4A7CDB}" type="presParOf" srcId="{D85753EA-4CEA-4A4B-8A32-D3D43FA52063}" destId="{E7362B9A-1B1E-46F4-8830-AB5535959F1F}" srcOrd="0" destOrd="0" presId="urn:microsoft.com/office/officeart/2005/8/layout/orgChart1"/>
    <dgm:cxn modelId="{C2E31CEE-4CDA-4641-9E56-8BD741685F05}" type="presParOf" srcId="{E7362B9A-1B1E-46F4-8830-AB5535959F1F}" destId="{F4C31505-D6DF-47AA-9843-C7210EBB4F84}" srcOrd="0" destOrd="0" presId="urn:microsoft.com/office/officeart/2005/8/layout/orgChart1"/>
    <dgm:cxn modelId="{AD1CA1C8-AF67-4773-88DF-4AAA6FEE8A72}" type="presParOf" srcId="{E7362B9A-1B1E-46F4-8830-AB5535959F1F}" destId="{8CD98874-4C2F-48D6-ABC1-E3669CF6CC99}" srcOrd="1" destOrd="0" presId="urn:microsoft.com/office/officeart/2005/8/layout/orgChart1"/>
    <dgm:cxn modelId="{639BD320-7EEC-4116-A89F-C80204DED936}" type="presParOf" srcId="{D85753EA-4CEA-4A4B-8A32-D3D43FA52063}" destId="{C0B11FFA-CF24-49AB-8819-3A2664AEC736}" srcOrd="1" destOrd="0" presId="urn:microsoft.com/office/officeart/2005/8/layout/orgChart1"/>
    <dgm:cxn modelId="{D68A37ED-AEC1-4E22-83ED-E0D6C245F299}" type="presParOf" srcId="{C0B11FFA-CF24-49AB-8819-3A2664AEC736}" destId="{50137482-7075-4F5C-85D8-3D55CECBD909}" srcOrd="0" destOrd="0" presId="urn:microsoft.com/office/officeart/2005/8/layout/orgChart1"/>
    <dgm:cxn modelId="{6A486D24-EF13-4F2D-B265-E866F97043FF}" type="presParOf" srcId="{C0B11FFA-CF24-49AB-8819-3A2664AEC736}" destId="{8FB6E4B9-313B-47E5-8A3B-3E1F002D4303}" srcOrd="1" destOrd="0" presId="urn:microsoft.com/office/officeart/2005/8/layout/orgChart1"/>
    <dgm:cxn modelId="{6AAE6831-9BB4-4665-A6FC-1A46DD97565D}" type="presParOf" srcId="{8FB6E4B9-313B-47E5-8A3B-3E1F002D4303}" destId="{617A2777-AB28-4DF0-9AEF-2745F186FD77}" srcOrd="0" destOrd="0" presId="urn:microsoft.com/office/officeart/2005/8/layout/orgChart1"/>
    <dgm:cxn modelId="{5EFC67B8-65CD-4575-A162-CC2512B98077}" type="presParOf" srcId="{617A2777-AB28-4DF0-9AEF-2745F186FD77}" destId="{E0236C2B-A9D3-4E97-8A2C-9AEC28E97E16}" srcOrd="0" destOrd="0" presId="urn:microsoft.com/office/officeart/2005/8/layout/orgChart1"/>
    <dgm:cxn modelId="{89E750CC-30AC-4D1D-A921-D58E1D12E552}" type="presParOf" srcId="{617A2777-AB28-4DF0-9AEF-2745F186FD77}" destId="{9781DE36-AF9D-43C5-91F5-226FB23BC5A0}" srcOrd="1" destOrd="0" presId="urn:microsoft.com/office/officeart/2005/8/layout/orgChart1"/>
    <dgm:cxn modelId="{198D38B0-6305-4502-931F-35B52B9F13C0}" type="presParOf" srcId="{8FB6E4B9-313B-47E5-8A3B-3E1F002D4303}" destId="{14B005E7-95FB-4143-98DE-1FA77EC5A3C9}" srcOrd="1" destOrd="0" presId="urn:microsoft.com/office/officeart/2005/8/layout/orgChart1"/>
    <dgm:cxn modelId="{E803CA9C-5BC7-428E-B9C7-D5D3C2D1B5A5}" type="presParOf" srcId="{8FB6E4B9-313B-47E5-8A3B-3E1F002D4303}" destId="{89D87FA7-C9EC-4B28-808C-9B82C009FFCE}" srcOrd="2" destOrd="0" presId="urn:microsoft.com/office/officeart/2005/8/layout/orgChart1"/>
    <dgm:cxn modelId="{97C5EE04-A9F2-44D5-85BF-EFBC2EEC3E74}" type="presParOf" srcId="{C0B11FFA-CF24-49AB-8819-3A2664AEC736}" destId="{69D67CA4-D28A-45E7-B564-60835C9B9944}" srcOrd="2" destOrd="0" presId="urn:microsoft.com/office/officeart/2005/8/layout/orgChart1"/>
    <dgm:cxn modelId="{314BDC82-2A4B-4598-BF47-469117281323}" type="presParOf" srcId="{C0B11FFA-CF24-49AB-8819-3A2664AEC736}" destId="{DA798610-8C3D-484F-B8E9-4F56D63FCA32}" srcOrd="3" destOrd="0" presId="urn:microsoft.com/office/officeart/2005/8/layout/orgChart1"/>
    <dgm:cxn modelId="{87F3A284-6AC3-4ABE-8974-C081BD44567F}" type="presParOf" srcId="{DA798610-8C3D-484F-B8E9-4F56D63FCA32}" destId="{51CF6395-2104-4DC6-B72C-3CACC00C49D8}" srcOrd="0" destOrd="0" presId="urn:microsoft.com/office/officeart/2005/8/layout/orgChart1"/>
    <dgm:cxn modelId="{0CD90DD7-F434-450A-8F8A-5DD595B95CA4}" type="presParOf" srcId="{51CF6395-2104-4DC6-B72C-3CACC00C49D8}" destId="{37EA8AB1-7584-4A32-9145-69668D71E8F4}" srcOrd="0" destOrd="0" presId="urn:microsoft.com/office/officeart/2005/8/layout/orgChart1"/>
    <dgm:cxn modelId="{3C8FDC4A-4578-4DB1-BB4F-357DE2163AC8}" type="presParOf" srcId="{51CF6395-2104-4DC6-B72C-3CACC00C49D8}" destId="{91D65981-C332-4F80-9A76-E4C1E868E8D5}" srcOrd="1" destOrd="0" presId="urn:microsoft.com/office/officeart/2005/8/layout/orgChart1"/>
    <dgm:cxn modelId="{7D8B62CB-0E11-4E13-81F4-AD44CB2204EC}" type="presParOf" srcId="{DA798610-8C3D-484F-B8E9-4F56D63FCA32}" destId="{183FC954-0C05-494B-8E6D-E8A55ED05C43}" srcOrd="1" destOrd="0" presId="urn:microsoft.com/office/officeart/2005/8/layout/orgChart1"/>
    <dgm:cxn modelId="{FA87F0B1-2A40-4C54-B57F-E55068E7E42A}" type="presParOf" srcId="{DA798610-8C3D-484F-B8E9-4F56D63FCA32}" destId="{676E2EA6-40B6-4CC5-8AE4-21303161256C}" srcOrd="2" destOrd="0" presId="urn:microsoft.com/office/officeart/2005/8/layout/orgChart1"/>
    <dgm:cxn modelId="{6155FBC2-2266-470E-B600-750622EF3526}" type="presParOf" srcId="{C0B11FFA-CF24-49AB-8819-3A2664AEC736}" destId="{2C08C6B6-C420-4D90-AAA9-D796119CAD47}" srcOrd="4" destOrd="0" presId="urn:microsoft.com/office/officeart/2005/8/layout/orgChart1"/>
    <dgm:cxn modelId="{57FB057D-0059-404D-AEFC-2060790D5E1D}" type="presParOf" srcId="{C0B11FFA-CF24-49AB-8819-3A2664AEC736}" destId="{358D2FB8-32A5-489A-ABBE-6F969D04818C}" srcOrd="5" destOrd="0" presId="urn:microsoft.com/office/officeart/2005/8/layout/orgChart1"/>
    <dgm:cxn modelId="{E8752B7A-6CF4-42DA-ACC9-B5C0576D3138}" type="presParOf" srcId="{358D2FB8-32A5-489A-ABBE-6F969D04818C}" destId="{1C3335B0-6F0A-46F5-B5E9-98E2F92D5D38}" srcOrd="0" destOrd="0" presId="urn:microsoft.com/office/officeart/2005/8/layout/orgChart1"/>
    <dgm:cxn modelId="{898FA020-9432-4CB5-A2C7-3CE79D09AE4C}" type="presParOf" srcId="{1C3335B0-6F0A-46F5-B5E9-98E2F92D5D38}" destId="{2477F0E8-C553-4E88-927C-3C8AE2E8F105}" srcOrd="0" destOrd="0" presId="urn:microsoft.com/office/officeart/2005/8/layout/orgChart1"/>
    <dgm:cxn modelId="{230C5CC7-A254-420D-89EA-1772BBC6E707}" type="presParOf" srcId="{1C3335B0-6F0A-46F5-B5E9-98E2F92D5D38}" destId="{A244A32C-15CC-4029-9411-6D009D2F8BA7}" srcOrd="1" destOrd="0" presId="urn:microsoft.com/office/officeart/2005/8/layout/orgChart1"/>
    <dgm:cxn modelId="{EF1D3F47-4364-4F42-AB2C-A215F8A8E891}" type="presParOf" srcId="{358D2FB8-32A5-489A-ABBE-6F969D04818C}" destId="{0310A6CF-22B2-4D21-A3B5-78DF15297785}" srcOrd="1" destOrd="0" presId="urn:microsoft.com/office/officeart/2005/8/layout/orgChart1"/>
    <dgm:cxn modelId="{5E1A19F4-CF87-4871-9626-9F56F75FB821}" type="presParOf" srcId="{358D2FB8-32A5-489A-ABBE-6F969D04818C}" destId="{E14393C1-54DC-4CA4-9FD4-50F2748AB6BF}" srcOrd="2" destOrd="0" presId="urn:microsoft.com/office/officeart/2005/8/layout/orgChart1"/>
    <dgm:cxn modelId="{645E0A63-5FA5-4F16-9DC4-15DD6F81AE2D}" type="presParOf" srcId="{D85753EA-4CEA-4A4B-8A32-D3D43FA52063}" destId="{69C45E2D-637B-4F7F-8D4B-FE869047C9DE}" srcOrd="2" destOrd="0" presId="urn:microsoft.com/office/officeart/2005/8/layout/orgChart1"/>
    <dgm:cxn modelId="{23C4382D-A004-47AD-BAC3-91ADD9E2A2BA}" type="presParOf" srcId="{5CA23256-78E6-4901-85A8-D4DF56D8976F}" destId="{78E0AD19-266C-436B-A2CA-461A101CA1F0}" srcOrd="6" destOrd="0" presId="urn:microsoft.com/office/officeart/2005/8/layout/orgChart1"/>
    <dgm:cxn modelId="{1221FBA7-113A-491D-9219-F9519B020C4A}" type="presParOf" srcId="{5CA23256-78E6-4901-85A8-D4DF56D8976F}" destId="{DCBE908A-2AFE-48B9-A96B-28F7A93995D4}" srcOrd="7" destOrd="0" presId="urn:microsoft.com/office/officeart/2005/8/layout/orgChart1"/>
    <dgm:cxn modelId="{E4281FDC-2C09-4EA4-A904-6BE7FA5DDDEE}" type="presParOf" srcId="{DCBE908A-2AFE-48B9-A96B-28F7A93995D4}" destId="{04C66DDE-9E0C-42D3-B323-1DE386AFB5A7}" srcOrd="0" destOrd="0" presId="urn:microsoft.com/office/officeart/2005/8/layout/orgChart1"/>
    <dgm:cxn modelId="{1187A321-E293-459C-9AB7-1B0E793D423C}" type="presParOf" srcId="{04C66DDE-9E0C-42D3-B323-1DE386AFB5A7}" destId="{BE47A5DE-EE30-49CB-AFBD-8B1C93DA5FCE}" srcOrd="0" destOrd="0" presId="urn:microsoft.com/office/officeart/2005/8/layout/orgChart1"/>
    <dgm:cxn modelId="{691BA1E6-8382-499B-913C-5B348001B0B6}" type="presParOf" srcId="{04C66DDE-9E0C-42D3-B323-1DE386AFB5A7}" destId="{09B6F1F9-FA3F-40F5-BC5E-39060C10CE30}" srcOrd="1" destOrd="0" presId="urn:microsoft.com/office/officeart/2005/8/layout/orgChart1"/>
    <dgm:cxn modelId="{AB473E22-A004-4BB4-9E03-7F91F86CFB09}" type="presParOf" srcId="{DCBE908A-2AFE-48B9-A96B-28F7A93995D4}" destId="{E93119D5-CCD2-4ACF-8EB3-B32EA54A1F9C}" srcOrd="1" destOrd="0" presId="urn:microsoft.com/office/officeart/2005/8/layout/orgChart1"/>
    <dgm:cxn modelId="{2F4BEEC7-1513-4867-8B88-D0E12EC0247C}" type="presParOf" srcId="{E93119D5-CCD2-4ACF-8EB3-B32EA54A1F9C}" destId="{476FD194-C2DB-4BE5-BCC9-87BA20A144EC}" srcOrd="0" destOrd="0" presId="urn:microsoft.com/office/officeart/2005/8/layout/orgChart1"/>
    <dgm:cxn modelId="{B5FC62E2-885C-465B-B51C-56AD23FC4276}" type="presParOf" srcId="{E93119D5-CCD2-4ACF-8EB3-B32EA54A1F9C}" destId="{DA23E44A-9BC2-495F-8F10-272F6958A110}" srcOrd="1" destOrd="0" presId="urn:microsoft.com/office/officeart/2005/8/layout/orgChart1"/>
    <dgm:cxn modelId="{9C0CF0F8-F0AA-407E-928A-F524F13ED1B7}" type="presParOf" srcId="{DA23E44A-9BC2-495F-8F10-272F6958A110}" destId="{ED6A60AF-3629-41B7-A130-D97AE6EF8599}" srcOrd="0" destOrd="0" presId="urn:microsoft.com/office/officeart/2005/8/layout/orgChart1"/>
    <dgm:cxn modelId="{47800E51-ADF6-4562-93B9-942B2DE4D6F7}" type="presParOf" srcId="{ED6A60AF-3629-41B7-A130-D97AE6EF8599}" destId="{EA71E183-84E8-48D4-A9A6-8F0910470349}" srcOrd="0" destOrd="0" presId="urn:microsoft.com/office/officeart/2005/8/layout/orgChart1"/>
    <dgm:cxn modelId="{9ABDB8F7-1783-40D1-90B9-54E3D5A96051}" type="presParOf" srcId="{ED6A60AF-3629-41B7-A130-D97AE6EF8599}" destId="{95AF17A8-D840-4738-90E0-1D77B020D50F}" srcOrd="1" destOrd="0" presId="urn:microsoft.com/office/officeart/2005/8/layout/orgChart1"/>
    <dgm:cxn modelId="{33D6F883-3891-4640-BD25-03A41F81753F}" type="presParOf" srcId="{DA23E44A-9BC2-495F-8F10-272F6958A110}" destId="{1AC23E50-447D-43D1-9FEB-FE4FB0F39535}" srcOrd="1" destOrd="0" presId="urn:microsoft.com/office/officeart/2005/8/layout/orgChart1"/>
    <dgm:cxn modelId="{0CBEF091-244B-42F3-BABE-DE56C913C3F5}" type="presParOf" srcId="{DA23E44A-9BC2-495F-8F10-272F6958A110}" destId="{4B7B79BB-3639-46FD-B0E1-D4CB40C7656E}" srcOrd="2" destOrd="0" presId="urn:microsoft.com/office/officeart/2005/8/layout/orgChart1"/>
    <dgm:cxn modelId="{B1591D18-BD00-4A30-871E-216F91BD3724}" type="presParOf" srcId="{E93119D5-CCD2-4ACF-8EB3-B32EA54A1F9C}" destId="{14AD741D-1044-421E-B51F-D36961D4CACA}" srcOrd="2" destOrd="0" presId="urn:microsoft.com/office/officeart/2005/8/layout/orgChart1"/>
    <dgm:cxn modelId="{5746AB3A-DB1A-43FA-9F75-98386AF94FA4}" type="presParOf" srcId="{E93119D5-CCD2-4ACF-8EB3-B32EA54A1F9C}" destId="{7E7FD53D-C23B-439C-BB55-A1BB628944FD}" srcOrd="3" destOrd="0" presId="urn:microsoft.com/office/officeart/2005/8/layout/orgChart1"/>
    <dgm:cxn modelId="{B67853DE-862E-46EF-BB5E-B4AF97527C9B}" type="presParOf" srcId="{7E7FD53D-C23B-439C-BB55-A1BB628944FD}" destId="{0A4BED6E-CC89-4EF7-AC42-68901184580F}" srcOrd="0" destOrd="0" presId="urn:microsoft.com/office/officeart/2005/8/layout/orgChart1"/>
    <dgm:cxn modelId="{708CDD3F-6B26-4B05-8E24-4DD7D29FE1D0}" type="presParOf" srcId="{0A4BED6E-CC89-4EF7-AC42-68901184580F}" destId="{9604BD11-597B-45A2-8DAF-0E2330BF583C}" srcOrd="0" destOrd="0" presId="urn:microsoft.com/office/officeart/2005/8/layout/orgChart1"/>
    <dgm:cxn modelId="{9B5EB1EE-B878-48A8-9DA1-81B7EC010FE0}" type="presParOf" srcId="{0A4BED6E-CC89-4EF7-AC42-68901184580F}" destId="{EEDFA72F-C267-464D-9685-936B0047B18D}" srcOrd="1" destOrd="0" presId="urn:microsoft.com/office/officeart/2005/8/layout/orgChart1"/>
    <dgm:cxn modelId="{440F2610-2B6A-4D40-91D4-ECCDB88283C2}" type="presParOf" srcId="{7E7FD53D-C23B-439C-BB55-A1BB628944FD}" destId="{FFD40595-E6EF-45C2-99F1-2551989CC96B}" srcOrd="1" destOrd="0" presId="urn:microsoft.com/office/officeart/2005/8/layout/orgChart1"/>
    <dgm:cxn modelId="{5816243F-8441-4796-BEA0-5691F76A638C}" type="presParOf" srcId="{7E7FD53D-C23B-439C-BB55-A1BB628944FD}" destId="{E1AD0E51-1967-4F01-85E3-D296247390E6}" srcOrd="2" destOrd="0" presId="urn:microsoft.com/office/officeart/2005/8/layout/orgChart1"/>
    <dgm:cxn modelId="{E1F34905-BBF5-46A3-A120-76E5BEC75BE8}" type="presParOf" srcId="{DCBE908A-2AFE-48B9-A96B-28F7A93995D4}" destId="{E4852736-0182-4306-98B1-29905F8C1B1B}" srcOrd="2" destOrd="0" presId="urn:microsoft.com/office/officeart/2005/8/layout/orgChart1"/>
    <dgm:cxn modelId="{9A05C3B6-CB09-4A9D-B384-2EBF85AE4EDD}" type="presParOf" srcId="{CCFAF1FE-D601-43D2-B746-99CCF93235F5}" destId="{B248F0A6-9FD6-4689-849F-1620379F87F3}"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AD741D-1044-421E-B51F-D36961D4CACA}">
      <dsp:nvSpPr>
        <dsp:cNvPr id="0" name=""/>
        <dsp:cNvSpPr/>
      </dsp:nvSpPr>
      <dsp:spPr>
        <a:xfrm>
          <a:off x="14462350"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76FD194-C2DB-4BE5-BCC9-87BA20A144EC}">
      <dsp:nvSpPr>
        <dsp:cNvPr id="0" name=""/>
        <dsp:cNvSpPr/>
      </dsp:nvSpPr>
      <dsp:spPr>
        <a:xfrm>
          <a:off x="14462350"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8E0AD19-266C-436B-A2CA-461A101CA1F0}">
      <dsp:nvSpPr>
        <dsp:cNvPr id="0" name=""/>
        <dsp:cNvSpPr/>
      </dsp:nvSpPr>
      <dsp:spPr>
        <a:xfrm>
          <a:off x="13688788" y="2000832"/>
          <a:ext cx="1050881" cy="121589"/>
        </a:xfrm>
        <a:custGeom>
          <a:avLst/>
          <a:gdLst/>
          <a:ahLst/>
          <a:cxnLst/>
          <a:rect l="0" t="0" r="0" b="0"/>
          <a:pathLst>
            <a:path>
              <a:moveTo>
                <a:pt x="0" y="0"/>
              </a:moveTo>
              <a:lnTo>
                <a:pt x="0" y="60794"/>
              </a:lnTo>
              <a:lnTo>
                <a:pt x="1050881" y="60794"/>
              </a:lnTo>
              <a:lnTo>
                <a:pt x="1050881"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C08C6B6-C420-4D90-AAA9-D796119CAD47}">
      <dsp:nvSpPr>
        <dsp:cNvPr id="0" name=""/>
        <dsp:cNvSpPr/>
      </dsp:nvSpPr>
      <dsp:spPr>
        <a:xfrm>
          <a:off x="13761762"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9D67CA4-D28A-45E7-B564-60835C9B9944}">
      <dsp:nvSpPr>
        <dsp:cNvPr id="0" name=""/>
        <dsp:cNvSpPr/>
      </dsp:nvSpPr>
      <dsp:spPr>
        <a:xfrm>
          <a:off x="13761762"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137482-7075-4F5C-85D8-3D55CECBD909}">
      <dsp:nvSpPr>
        <dsp:cNvPr id="0" name=""/>
        <dsp:cNvSpPr/>
      </dsp:nvSpPr>
      <dsp:spPr>
        <a:xfrm>
          <a:off x="13761762"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5A2925D-E86E-42A8-B7FF-94E0195E5073}">
      <dsp:nvSpPr>
        <dsp:cNvPr id="0" name=""/>
        <dsp:cNvSpPr/>
      </dsp:nvSpPr>
      <dsp:spPr>
        <a:xfrm>
          <a:off x="13688788" y="2000832"/>
          <a:ext cx="350293" cy="121589"/>
        </a:xfrm>
        <a:custGeom>
          <a:avLst/>
          <a:gdLst/>
          <a:ahLst/>
          <a:cxnLst/>
          <a:rect l="0" t="0" r="0" b="0"/>
          <a:pathLst>
            <a:path>
              <a:moveTo>
                <a:pt x="0" y="0"/>
              </a:moveTo>
              <a:lnTo>
                <a:pt x="0" y="60794"/>
              </a:lnTo>
              <a:lnTo>
                <a:pt x="350293" y="60794"/>
              </a:lnTo>
              <a:lnTo>
                <a:pt x="350293"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EBA4E4-6A87-41AF-AA0F-FF08390666B4}">
      <dsp:nvSpPr>
        <dsp:cNvPr id="0" name=""/>
        <dsp:cNvSpPr/>
      </dsp:nvSpPr>
      <dsp:spPr>
        <a:xfrm>
          <a:off x="13061175"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A028E31-9872-4846-A415-D4FC3ADFCDE2}">
      <dsp:nvSpPr>
        <dsp:cNvPr id="0" name=""/>
        <dsp:cNvSpPr/>
      </dsp:nvSpPr>
      <dsp:spPr>
        <a:xfrm>
          <a:off x="13061175"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A8EB647-D4D3-494A-9154-765638C60C1C}">
      <dsp:nvSpPr>
        <dsp:cNvPr id="0" name=""/>
        <dsp:cNvSpPr/>
      </dsp:nvSpPr>
      <dsp:spPr>
        <a:xfrm>
          <a:off x="13061175"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6D082AB-6FAB-4EAA-A2F9-1A63210DE847}">
      <dsp:nvSpPr>
        <dsp:cNvPr id="0" name=""/>
        <dsp:cNvSpPr/>
      </dsp:nvSpPr>
      <dsp:spPr>
        <a:xfrm>
          <a:off x="13338494" y="2000832"/>
          <a:ext cx="350293" cy="121589"/>
        </a:xfrm>
        <a:custGeom>
          <a:avLst/>
          <a:gdLst/>
          <a:ahLst/>
          <a:cxnLst/>
          <a:rect l="0" t="0" r="0" b="0"/>
          <a:pathLst>
            <a:path>
              <a:moveTo>
                <a:pt x="350293" y="0"/>
              </a:moveTo>
              <a:lnTo>
                <a:pt x="350293" y="60794"/>
              </a:lnTo>
              <a:lnTo>
                <a:pt x="0" y="60794"/>
              </a:lnTo>
              <a:lnTo>
                <a:pt x="0"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2B97565-E678-48B0-8551-E3044FD845C5}">
      <dsp:nvSpPr>
        <dsp:cNvPr id="0" name=""/>
        <dsp:cNvSpPr/>
      </dsp:nvSpPr>
      <dsp:spPr>
        <a:xfrm>
          <a:off x="12360587" y="2411921"/>
          <a:ext cx="91440" cy="1499605"/>
        </a:xfrm>
        <a:custGeom>
          <a:avLst/>
          <a:gdLst/>
          <a:ahLst/>
          <a:cxnLst/>
          <a:rect l="0" t="0" r="0" b="0"/>
          <a:pathLst>
            <a:path>
              <a:moveTo>
                <a:pt x="45720" y="0"/>
              </a:moveTo>
              <a:lnTo>
                <a:pt x="45720" y="1499605"/>
              </a:lnTo>
              <a:lnTo>
                <a:pt x="132569" y="1499605"/>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F23AE5C-3AF7-473A-AF77-17042B1E7748}">
      <dsp:nvSpPr>
        <dsp:cNvPr id="0" name=""/>
        <dsp:cNvSpPr/>
      </dsp:nvSpPr>
      <dsp:spPr>
        <a:xfrm>
          <a:off x="12360587"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4E4B96-9907-484D-AF03-FD9780FF466C}">
      <dsp:nvSpPr>
        <dsp:cNvPr id="0" name=""/>
        <dsp:cNvSpPr/>
      </dsp:nvSpPr>
      <dsp:spPr>
        <a:xfrm>
          <a:off x="12360587"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ED4CD0-FD22-4558-AB63-ECFD37A6F7FB}">
      <dsp:nvSpPr>
        <dsp:cNvPr id="0" name=""/>
        <dsp:cNvSpPr/>
      </dsp:nvSpPr>
      <dsp:spPr>
        <a:xfrm>
          <a:off x="12360587"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11ADAF4-52D0-4FE7-AB3A-790ECB2379B7}">
      <dsp:nvSpPr>
        <dsp:cNvPr id="0" name=""/>
        <dsp:cNvSpPr/>
      </dsp:nvSpPr>
      <dsp:spPr>
        <a:xfrm>
          <a:off x="12637906" y="2000832"/>
          <a:ext cx="1050881" cy="121589"/>
        </a:xfrm>
        <a:custGeom>
          <a:avLst/>
          <a:gdLst/>
          <a:ahLst/>
          <a:cxnLst/>
          <a:rect l="0" t="0" r="0" b="0"/>
          <a:pathLst>
            <a:path>
              <a:moveTo>
                <a:pt x="1050881" y="0"/>
              </a:moveTo>
              <a:lnTo>
                <a:pt x="1050881" y="60794"/>
              </a:lnTo>
              <a:lnTo>
                <a:pt x="0" y="60794"/>
              </a:lnTo>
              <a:lnTo>
                <a:pt x="0"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BDFE6B-AD7D-4798-860C-DB8419454856}">
      <dsp:nvSpPr>
        <dsp:cNvPr id="0" name=""/>
        <dsp:cNvSpPr/>
      </dsp:nvSpPr>
      <dsp:spPr>
        <a:xfrm>
          <a:off x="11659999" y="2823009"/>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74B0D7E-7957-487C-9B92-0E69086768E0}">
      <dsp:nvSpPr>
        <dsp:cNvPr id="0" name=""/>
        <dsp:cNvSpPr/>
      </dsp:nvSpPr>
      <dsp:spPr>
        <a:xfrm>
          <a:off x="11659999" y="2823009"/>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B9FFEFF-B0D3-4A0B-A51E-267D70B7FE65}">
      <dsp:nvSpPr>
        <dsp:cNvPr id="0" name=""/>
        <dsp:cNvSpPr/>
      </dsp:nvSpPr>
      <dsp:spPr>
        <a:xfrm>
          <a:off x="11659999" y="2823009"/>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2B9F103-1A4A-48AD-A261-FD9EFC1C058C}">
      <dsp:nvSpPr>
        <dsp:cNvPr id="0" name=""/>
        <dsp:cNvSpPr/>
      </dsp:nvSpPr>
      <dsp:spPr>
        <a:xfrm>
          <a:off x="11236731" y="2411921"/>
          <a:ext cx="700587" cy="121589"/>
        </a:xfrm>
        <a:custGeom>
          <a:avLst/>
          <a:gdLst/>
          <a:ahLst/>
          <a:cxnLst/>
          <a:rect l="0" t="0" r="0" b="0"/>
          <a:pathLst>
            <a:path>
              <a:moveTo>
                <a:pt x="0" y="0"/>
              </a:moveTo>
              <a:lnTo>
                <a:pt x="0" y="60794"/>
              </a:lnTo>
              <a:lnTo>
                <a:pt x="700587" y="60794"/>
              </a:lnTo>
              <a:lnTo>
                <a:pt x="700587" y="12158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5E5CA5F-4423-4EEB-A2AC-9E4EFF47ECFC}">
      <dsp:nvSpPr>
        <dsp:cNvPr id="0" name=""/>
        <dsp:cNvSpPr/>
      </dsp:nvSpPr>
      <dsp:spPr>
        <a:xfrm>
          <a:off x="10959412" y="2823009"/>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C7F633-FF25-4B4E-95EE-D064E36269C0}">
      <dsp:nvSpPr>
        <dsp:cNvPr id="0" name=""/>
        <dsp:cNvSpPr/>
      </dsp:nvSpPr>
      <dsp:spPr>
        <a:xfrm>
          <a:off x="10959412" y="2823009"/>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1335B4F-1103-4BCB-A00E-16B6A60F8564}">
      <dsp:nvSpPr>
        <dsp:cNvPr id="0" name=""/>
        <dsp:cNvSpPr/>
      </dsp:nvSpPr>
      <dsp:spPr>
        <a:xfrm>
          <a:off x="10959412" y="2823009"/>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41F49A3-7FBD-4DB2-A80E-FB04E19A7278}">
      <dsp:nvSpPr>
        <dsp:cNvPr id="0" name=""/>
        <dsp:cNvSpPr/>
      </dsp:nvSpPr>
      <dsp:spPr>
        <a:xfrm>
          <a:off x="11191011" y="2411921"/>
          <a:ext cx="91440" cy="121589"/>
        </a:xfrm>
        <a:custGeom>
          <a:avLst/>
          <a:gdLst/>
          <a:ahLst/>
          <a:cxnLst/>
          <a:rect l="0" t="0" r="0" b="0"/>
          <a:pathLst>
            <a:path>
              <a:moveTo>
                <a:pt x="45720" y="0"/>
              </a:moveTo>
              <a:lnTo>
                <a:pt x="45720" y="12158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DCCF489-911C-4862-9293-EA9511EE6422}">
      <dsp:nvSpPr>
        <dsp:cNvPr id="0" name=""/>
        <dsp:cNvSpPr/>
      </dsp:nvSpPr>
      <dsp:spPr>
        <a:xfrm>
          <a:off x="10258824" y="2823009"/>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563C7A7-10D4-41EF-B4D0-EC0F5DA9C051}">
      <dsp:nvSpPr>
        <dsp:cNvPr id="0" name=""/>
        <dsp:cNvSpPr/>
      </dsp:nvSpPr>
      <dsp:spPr>
        <a:xfrm>
          <a:off x="10258824" y="2823009"/>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9233897-B285-4633-91EF-E2FB2CD1D1E4}">
      <dsp:nvSpPr>
        <dsp:cNvPr id="0" name=""/>
        <dsp:cNvSpPr/>
      </dsp:nvSpPr>
      <dsp:spPr>
        <a:xfrm>
          <a:off x="10258824" y="2823009"/>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33B4291-B94B-47C3-BE6D-A02B174BB6AF}">
      <dsp:nvSpPr>
        <dsp:cNvPr id="0" name=""/>
        <dsp:cNvSpPr/>
      </dsp:nvSpPr>
      <dsp:spPr>
        <a:xfrm>
          <a:off x="10536143" y="2411921"/>
          <a:ext cx="700587" cy="121589"/>
        </a:xfrm>
        <a:custGeom>
          <a:avLst/>
          <a:gdLst/>
          <a:ahLst/>
          <a:cxnLst/>
          <a:rect l="0" t="0" r="0" b="0"/>
          <a:pathLst>
            <a:path>
              <a:moveTo>
                <a:pt x="700587" y="0"/>
              </a:moveTo>
              <a:lnTo>
                <a:pt x="700587" y="60794"/>
              </a:lnTo>
              <a:lnTo>
                <a:pt x="0" y="60794"/>
              </a:lnTo>
              <a:lnTo>
                <a:pt x="0" y="12158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A3C222E-EA04-469D-B2A5-428B109ED3E0}">
      <dsp:nvSpPr>
        <dsp:cNvPr id="0" name=""/>
        <dsp:cNvSpPr/>
      </dsp:nvSpPr>
      <dsp:spPr>
        <a:xfrm>
          <a:off x="7238749" y="2000832"/>
          <a:ext cx="3997981" cy="121589"/>
        </a:xfrm>
        <a:custGeom>
          <a:avLst/>
          <a:gdLst/>
          <a:ahLst/>
          <a:cxnLst/>
          <a:rect l="0" t="0" r="0" b="0"/>
          <a:pathLst>
            <a:path>
              <a:moveTo>
                <a:pt x="0" y="0"/>
              </a:moveTo>
              <a:lnTo>
                <a:pt x="0" y="60794"/>
              </a:lnTo>
              <a:lnTo>
                <a:pt x="3997981" y="60794"/>
              </a:lnTo>
              <a:lnTo>
                <a:pt x="3997981"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790520A-43F4-4739-A2CA-F8C4C7F8482F}">
      <dsp:nvSpPr>
        <dsp:cNvPr id="0" name=""/>
        <dsp:cNvSpPr/>
      </dsp:nvSpPr>
      <dsp:spPr>
        <a:xfrm>
          <a:off x="9413487"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C03C1CE-E351-4370-B37B-BCBBA6EACE73}">
      <dsp:nvSpPr>
        <dsp:cNvPr id="0" name=""/>
        <dsp:cNvSpPr/>
      </dsp:nvSpPr>
      <dsp:spPr>
        <a:xfrm>
          <a:off x="9413487"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FB9DFAA-3011-404B-B2FB-82DE1D530E40}">
      <dsp:nvSpPr>
        <dsp:cNvPr id="0" name=""/>
        <dsp:cNvSpPr/>
      </dsp:nvSpPr>
      <dsp:spPr>
        <a:xfrm>
          <a:off x="9413487"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59C22EE-4EA1-4A4E-8BEA-6527B19C8640}">
      <dsp:nvSpPr>
        <dsp:cNvPr id="0" name=""/>
        <dsp:cNvSpPr/>
      </dsp:nvSpPr>
      <dsp:spPr>
        <a:xfrm>
          <a:off x="7238749" y="2000832"/>
          <a:ext cx="2452056" cy="121589"/>
        </a:xfrm>
        <a:custGeom>
          <a:avLst/>
          <a:gdLst/>
          <a:ahLst/>
          <a:cxnLst/>
          <a:rect l="0" t="0" r="0" b="0"/>
          <a:pathLst>
            <a:path>
              <a:moveTo>
                <a:pt x="0" y="0"/>
              </a:moveTo>
              <a:lnTo>
                <a:pt x="0" y="60794"/>
              </a:lnTo>
              <a:lnTo>
                <a:pt x="2452056" y="60794"/>
              </a:lnTo>
              <a:lnTo>
                <a:pt x="2452056"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3E8EBCD-330D-4159-85A7-FFCDEC90A699}">
      <dsp:nvSpPr>
        <dsp:cNvPr id="0" name=""/>
        <dsp:cNvSpPr/>
      </dsp:nvSpPr>
      <dsp:spPr>
        <a:xfrm>
          <a:off x="8712899" y="3234098"/>
          <a:ext cx="91440" cy="1499605"/>
        </a:xfrm>
        <a:custGeom>
          <a:avLst/>
          <a:gdLst/>
          <a:ahLst/>
          <a:cxnLst/>
          <a:rect l="0" t="0" r="0" b="0"/>
          <a:pathLst>
            <a:path>
              <a:moveTo>
                <a:pt x="45720" y="0"/>
              </a:moveTo>
              <a:lnTo>
                <a:pt x="45720" y="1499605"/>
              </a:lnTo>
              <a:lnTo>
                <a:pt x="132569" y="1499605"/>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A9689D5-BDC2-40D0-BACD-244220DD3FB0}">
      <dsp:nvSpPr>
        <dsp:cNvPr id="0" name=""/>
        <dsp:cNvSpPr/>
      </dsp:nvSpPr>
      <dsp:spPr>
        <a:xfrm>
          <a:off x="8712899" y="3234098"/>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6C03E25-FF64-4F0D-8C01-1A1D89FC99A1}">
      <dsp:nvSpPr>
        <dsp:cNvPr id="0" name=""/>
        <dsp:cNvSpPr/>
      </dsp:nvSpPr>
      <dsp:spPr>
        <a:xfrm>
          <a:off x="8712899" y="3234098"/>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CDC6238-9924-4CB4-8E8E-E4E6304A5BCB}">
      <dsp:nvSpPr>
        <dsp:cNvPr id="0" name=""/>
        <dsp:cNvSpPr/>
      </dsp:nvSpPr>
      <dsp:spPr>
        <a:xfrm>
          <a:off x="8712899" y="3234098"/>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9E0DB91-1B85-4198-B787-4E0F0BB350D5}">
      <dsp:nvSpPr>
        <dsp:cNvPr id="0" name=""/>
        <dsp:cNvSpPr/>
      </dsp:nvSpPr>
      <dsp:spPr>
        <a:xfrm>
          <a:off x="8944498" y="2823009"/>
          <a:ext cx="91440" cy="121589"/>
        </a:xfrm>
        <a:custGeom>
          <a:avLst/>
          <a:gdLst/>
          <a:ahLst/>
          <a:cxnLst/>
          <a:rect l="0" t="0" r="0" b="0"/>
          <a:pathLst>
            <a:path>
              <a:moveTo>
                <a:pt x="45720" y="0"/>
              </a:moveTo>
              <a:lnTo>
                <a:pt x="4572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A56C4BD-6043-4B54-910E-E8237DD65AAE}">
      <dsp:nvSpPr>
        <dsp:cNvPr id="0" name=""/>
        <dsp:cNvSpPr/>
      </dsp:nvSpPr>
      <dsp:spPr>
        <a:xfrm>
          <a:off x="7537657" y="2411921"/>
          <a:ext cx="1452561" cy="121589"/>
        </a:xfrm>
        <a:custGeom>
          <a:avLst/>
          <a:gdLst/>
          <a:ahLst/>
          <a:cxnLst/>
          <a:rect l="0" t="0" r="0" b="0"/>
          <a:pathLst>
            <a:path>
              <a:moveTo>
                <a:pt x="0" y="0"/>
              </a:moveTo>
              <a:lnTo>
                <a:pt x="0" y="60794"/>
              </a:lnTo>
              <a:lnTo>
                <a:pt x="1452561" y="60794"/>
              </a:lnTo>
              <a:lnTo>
                <a:pt x="1452561" y="12158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6F323F4-E546-412D-9002-0DB2C7E004A3}">
      <dsp:nvSpPr>
        <dsp:cNvPr id="0" name=""/>
        <dsp:cNvSpPr/>
      </dsp:nvSpPr>
      <dsp:spPr>
        <a:xfrm>
          <a:off x="7383499" y="3234098"/>
          <a:ext cx="1050881" cy="121589"/>
        </a:xfrm>
        <a:custGeom>
          <a:avLst/>
          <a:gdLst/>
          <a:ahLst/>
          <a:cxnLst/>
          <a:rect l="0" t="0" r="0" b="0"/>
          <a:pathLst>
            <a:path>
              <a:moveTo>
                <a:pt x="0" y="0"/>
              </a:moveTo>
              <a:lnTo>
                <a:pt x="0" y="60794"/>
              </a:lnTo>
              <a:lnTo>
                <a:pt x="1050881" y="60794"/>
              </a:lnTo>
              <a:lnTo>
                <a:pt x="1050881"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6AAD986-BDDA-4373-AB96-B725F9FD1472}">
      <dsp:nvSpPr>
        <dsp:cNvPr id="0" name=""/>
        <dsp:cNvSpPr/>
      </dsp:nvSpPr>
      <dsp:spPr>
        <a:xfrm>
          <a:off x="7383499" y="3234098"/>
          <a:ext cx="350293" cy="121589"/>
        </a:xfrm>
        <a:custGeom>
          <a:avLst/>
          <a:gdLst/>
          <a:ahLst/>
          <a:cxnLst/>
          <a:rect l="0" t="0" r="0" b="0"/>
          <a:pathLst>
            <a:path>
              <a:moveTo>
                <a:pt x="0" y="0"/>
              </a:moveTo>
              <a:lnTo>
                <a:pt x="0" y="60794"/>
              </a:lnTo>
              <a:lnTo>
                <a:pt x="350293" y="60794"/>
              </a:lnTo>
              <a:lnTo>
                <a:pt x="350293"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CF57CB3-4449-4E57-A164-5E94FDBA187C}">
      <dsp:nvSpPr>
        <dsp:cNvPr id="0" name=""/>
        <dsp:cNvSpPr/>
      </dsp:nvSpPr>
      <dsp:spPr>
        <a:xfrm>
          <a:off x="6755886" y="3645187"/>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E1F9F8E-E8B5-48C9-AA6B-055FF8129427}">
      <dsp:nvSpPr>
        <dsp:cNvPr id="0" name=""/>
        <dsp:cNvSpPr/>
      </dsp:nvSpPr>
      <dsp:spPr>
        <a:xfrm>
          <a:off x="6755886" y="3645187"/>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6D6097-66B3-4200-96FC-A9C16D3CF51B}">
      <dsp:nvSpPr>
        <dsp:cNvPr id="0" name=""/>
        <dsp:cNvSpPr/>
      </dsp:nvSpPr>
      <dsp:spPr>
        <a:xfrm>
          <a:off x="7033205" y="3234098"/>
          <a:ext cx="350293" cy="121589"/>
        </a:xfrm>
        <a:custGeom>
          <a:avLst/>
          <a:gdLst/>
          <a:ahLst/>
          <a:cxnLst/>
          <a:rect l="0" t="0" r="0" b="0"/>
          <a:pathLst>
            <a:path>
              <a:moveTo>
                <a:pt x="350293" y="0"/>
              </a:moveTo>
              <a:lnTo>
                <a:pt x="350293" y="60794"/>
              </a:lnTo>
              <a:lnTo>
                <a:pt x="0" y="60794"/>
              </a:lnTo>
              <a:lnTo>
                <a:pt x="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F7518DB-5A64-4C4B-AC5D-0356CD0CCE4D}">
      <dsp:nvSpPr>
        <dsp:cNvPr id="0" name=""/>
        <dsp:cNvSpPr/>
      </dsp:nvSpPr>
      <dsp:spPr>
        <a:xfrm>
          <a:off x="6332617" y="3234098"/>
          <a:ext cx="1050881" cy="121589"/>
        </a:xfrm>
        <a:custGeom>
          <a:avLst/>
          <a:gdLst/>
          <a:ahLst/>
          <a:cxnLst/>
          <a:rect l="0" t="0" r="0" b="0"/>
          <a:pathLst>
            <a:path>
              <a:moveTo>
                <a:pt x="1050881" y="0"/>
              </a:moveTo>
              <a:lnTo>
                <a:pt x="1050881" y="60794"/>
              </a:lnTo>
              <a:lnTo>
                <a:pt x="0" y="60794"/>
              </a:lnTo>
              <a:lnTo>
                <a:pt x="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4DB5B8-E521-41DA-9E98-689E1F5C07D7}">
      <dsp:nvSpPr>
        <dsp:cNvPr id="0" name=""/>
        <dsp:cNvSpPr/>
      </dsp:nvSpPr>
      <dsp:spPr>
        <a:xfrm>
          <a:off x="6085096" y="2823009"/>
          <a:ext cx="1298403" cy="121589"/>
        </a:xfrm>
        <a:custGeom>
          <a:avLst/>
          <a:gdLst/>
          <a:ahLst/>
          <a:cxnLst/>
          <a:rect l="0" t="0" r="0" b="0"/>
          <a:pathLst>
            <a:path>
              <a:moveTo>
                <a:pt x="0" y="0"/>
              </a:moveTo>
              <a:lnTo>
                <a:pt x="0" y="60794"/>
              </a:lnTo>
              <a:lnTo>
                <a:pt x="1298403" y="60794"/>
              </a:lnTo>
              <a:lnTo>
                <a:pt x="1298403"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334895-6D96-448D-BF7A-30B9B66AC9D3}">
      <dsp:nvSpPr>
        <dsp:cNvPr id="0" name=""/>
        <dsp:cNvSpPr/>
      </dsp:nvSpPr>
      <dsp:spPr>
        <a:xfrm>
          <a:off x="5209961" y="3234098"/>
          <a:ext cx="91440" cy="1910693"/>
        </a:xfrm>
        <a:custGeom>
          <a:avLst/>
          <a:gdLst/>
          <a:ahLst/>
          <a:cxnLst/>
          <a:rect l="0" t="0" r="0" b="0"/>
          <a:pathLst>
            <a:path>
              <a:moveTo>
                <a:pt x="45720" y="0"/>
              </a:moveTo>
              <a:lnTo>
                <a:pt x="45720" y="1910693"/>
              </a:lnTo>
              <a:lnTo>
                <a:pt x="132569" y="1910693"/>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69BF57F-B9F1-4415-88F3-AE3451C18182}">
      <dsp:nvSpPr>
        <dsp:cNvPr id="0" name=""/>
        <dsp:cNvSpPr/>
      </dsp:nvSpPr>
      <dsp:spPr>
        <a:xfrm>
          <a:off x="5209961" y="3234098"/>
          <a:ext cx="91440" cy="1499605"/>
        </a:xfrm>
        <a:custGeom>
          <a:avLst/>
          <a:gdLst/>
          <a:ahLst/>
          <a:cxnLst/>
          <a:rect l="0" t="0" r="0" b="0"/>
          <a:pathLst>
            <a:path>
              <a:moveTo>
                <a:pt x="45720" y="0"/>
              </a:moveTo>
              <a:lnTo>
                <a:pt x="45720" y="1499605"/>
              </a:lnTo>
              <a:lnTo>
                <a:pt x="132569" y="1499605"/>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0AECA4-B1FF-469D-AC28-D762F69B2F2E}">
      <dsp:nvSpPr>
        <dsp:cNvPr id="0" name=""/>
        <dsp:cNvSpPr/>
      </dsp:nvSpPr>
      <dsp:spPr>
        <a:xfrm>
          <a:off x="5209961" y="3234098"/>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2B2F150-3A49-411F-B5D3-AE477FF6EDA9}">
      <dsp:nvSpPr>
        <dsp:cNvPr id="0" name=""/>
        <dsp:cNvSpPr/>
      </dsp:nvSpPr>
      <dsp:spPr>
        <a:xfrm>
          <a:off x="5209961" y="3234098"/>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A11771F-7123-429D-8558-F258DF2EEEC2}">
      <dsp:nvSpPr>
        <dsp:cNvPr id="0" name=""/>
        <dsp:cNvSpPr/>
      </dsp:nvSpPr>
      <dsp:spPr>
        <a:xfrm>
          <a:off x="5209961" y="3234098"/>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66D8451-CF02-4BD7-A0A7-1033B7C24191}">
      <dsp:nvSpPr>
        <dsp:cNvPr id="0" name=""/>
        <dsp:cNvSpPr/>
      </dsp:nvSpPr>
      <dsp:spPr>
        <a:xfrm>
          <a:off x="5487280" y="2823009"/>
          <a:ext cx="597815" cy="121589"/>
        </a:xfrm>
        <a:custGeom>
          <a:avLst/>
          <a:gdLst/>
          <a:ahLst/>
          <a:cxnLst/>
          <a:rect l="0" t="0" r="0" b="0"/>
          <a:pathLst>
            <a:path>
              <a:moveTo>
                <a:pt x="597815" y="0"/>
              </a:moveTo>
              <a:lnTo>
                <a:pt x="597815" y="60794"/>
              </a:lnTo>
              <a:lnTo>
                <a:pt x="0" y="60794"/>
              </a:lnTo>
              <a:lnTo>
                <a:pt x="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7A5E5F3-5A1F-4B65-BCE3-96554E47F66C}">
      <dsp:nvSpPr>
        <dsp:cNvPr id="0" name=""/>
        <dsp:cNvSpPr/>
      </dsp:nvSpPr>
      <dsp:spPr>
        <a:xfrm>
          <a:off x="4509373" y="3234098"/>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789F431-D3BE-4192-AF43-CCF9549511CA}">
      <dsp:nvSpPr>
        <dsp:cNvPr id="0" name=""/>
        <dsp:cNvSpPr/>
      </dsp:nvSpPr>
      <dsp:spPr>
        <a:xfrm>
          <a:off x="4509373" y="3234098"/>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D286B92-64D9-4695-846A-BB66A61AE4C1}">
      <dsp:nvSpPr>
        <dsp:cNvPr id="0" name=""/>
        <dsp:cNvSpPr/>
      </dsp:nvSpPr>
      <dsp:spPr>
        <a:xfrm>
          <a:off x="4509373" y="3234098"/>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F44E3AC-B687-4347-9359-A5919C90BF24}">
      <dsp:nvSpPr>
        <dsp:cNvPr id="0" name=""/>
        <dsp:cNvSpPr/>
      </dsp:nvSpPr>
      <dsp:spPr>
        <a:xfrm>
          <a:off x="4786692" y="2823009"/>
          <a:ext cx="1298403" cy="121589"/>
        </a:xfrm>
        <a:custGeom>
          <a:avLst/>
          <a:gdLst/>
          <a:ahLst/>
          <a:cxnLst/>
          <a:rect l="0" t="0" r="0" b="0"/>
          <a:pathLst>
            <a:path>
              <a:moveTo>
                <a:pt x="1298403" y="0"/>
              </a:moveTo>
              <a:lnTo>
                <a:pt x="1298403" y="60794"/>
              </a:lnTo>
              <a:lnTo>
                <a:pt x="0" y="60794"/>
              </a:lnTo>
              <a:lnTo>
                <a:pt x="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78FE6CB-7FF8-4CEE-AD55-7C741090AFFD}">
      <dsp:nvSpPr>
        <dsp:cNvPr id="0" name=""/>
        <dsp:cNvSpPr/>
      </dsp:nvSpPr>
      <dsp:spPr>
        <a:xfrm>
          <a:off x="6085096" y="2411921"/>
          <a:ext cx="1452561" cy="121589"/>
        </a:xfrm>
        <a:custGeom>
          <a:avLst/>
          <a:gdLst/>
          <a:ahLst/>
          <a:cxnLst/>
          <a:rect l="0" t="0" r="0" b="0"/>
          <a:pathLst>
            <a:path>
              <a:moveTo>
                <a:pt x="1452561" y="0"/>
              </a:moveTo>
              <a:lnTo>
                <a:pt x="1452561" y="60794"/>
              </a:lnTo>
              <a:lnTo>
                <a:pt x="0" y="60794"/>
              </a:lnTo>
              <a:lnTo>
                <a:pt x="0" y="12158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10ECDEE-9DC9-4C67-B44B-E82FE5130F1D}">
      <dsp:nvSpPr>
        <dsp:cNvPr id="0" name=""/>
        <dsp:cNvSpPr/>
      </dsp:nvSpPr>
      <dsp:spPr>
        <a:xfrm>
          <a:off x="7238749" y="2000832"/>
          <a:ext cx="298907" cy="121589"/>
        </a:xfrm>
        <a:custGeom>
          <a:avLst/>
          <a:gdLst/>
          <a:ahLst/>
          <a:cxnLst/>
          <a:rect l="0" t="0" r="0" b="0"/>
          <a:pathLst>
            <a:path>
              <a:moveTo>
                <a:pt x="0" y="0"/>
              </a:moveTo>
              <a:lnTo>
                <a:pt x="0" y="60794"/>
              </a:lnTo>
              <a:lnTo>
                <a:pt x="298907" y="60794"/>
              </a:lnTo>
              <a:lnTo>
                <a:pt x="298907"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743E56D-4762-448A-9A91-6899766FF59C}">
      <dsp:nvSpPr>
        <dsp:cNvPr id="0" name=""/>
        <dsp:cNvSpPr/>
      </dsp:nvSpPr>
      <dsp:spPr>
        <a:xfrm>
          <a:off x="3664036" y="2411921"/>
          <a:ext cx="91440" cy="1499605"/>
        </a:xfrm>
        <a:custGeom>
          <a:avLst/>
          <a:gdLst/>
          <a:ahLst/>
          <a:cxnLst/>
          <a:rect l="0" t="0" r="0" b="0"/>
          <a:pathLst>
            <a:path>
              <a:moveTo>
                <a:pt x="45720" y="0"/>
              </a:moveTo>
              <a:lnTo>
                <a:pt x="45720" y="1499605"/>
              </a:lnTo>
              <a:lnTo>
                <a:pt x="132569" y="1499605"/>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543158D-3980-430D-A384-76D44B8D96C4}">
      <dsp:nvSpPr>
        <dsp:cNvPr id="0" name=""/>
        <dsp:cNvSpPr/>
      </dsp:nvSpPr>
      <dsp:spPr>
        <a:xfrm>
          <a:off x="3664036"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9747454-1A04-4415-9946-2C8D25D72AF6}">
      <dsp:nvSpPr>
        <dsp:cNvPr id="0" name=""/>
        <dsp:cNvSpPr/>
      </dsp:nvSpPr>
      <dsp:spPr>
        <a:xfrm>
          <a:off x="3664036"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4746DDA-9BA4-4D4A-9F19-3F81A809CA82}">
      <dsp:nvSpPr>
        <dsp:cNvPr id="0" name=""/>
        <dsp:cNvSpPr/>
      </dsp:nvSpPr>
      <dsp:spPr>
        <a:xfrm>
          <a:off x="3664036"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D155F9-F696-4A47-89DA-2C64DF50A969}">
      <dsp:nvSpPr>
        <dsp:cNvPr id="0" name=""/>
        <dsp:cNvSpPr/>
      </dsp:nvSpPr>
      <dsp:spPr>
        <a:xfrm>
          <a:off x="3941355" y="2000832"/>
          <a:ext cx="3297394" cy="121589"/>
        </a:xfrm>
        <a:custGeom>
          <a:avLst/>
          <a:gdLst/>
          <a:ahLst/>
          <a:cxnLst/>
          <a:rect l="0" t="0" r="0" b="0"/>
          <a:pathLst>
            <a:path>
              <a:moveTo>
                <a:pt x="3297394" y="0"/>
              </a:moveTo>
              <a:lnTo>
                <a:pt x="3297394" y="60794"/>
              </a:lnTo>
              <a:lnTo>
                <a:pt x="0" y="60794"/>
              </a:lnTo>
              <a:lnTo>
                <a:pt x="0"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E02CA1F-09C8-4581-9726-5D987B155C40}">
      <dsp:nvSpPr>
        <dsp:cNvPr id="0" name=""/>
        <dsp:cNvSpPr/>
      </dsp:nvSpPr>
      <dsp:spPr>
        <a:xfrm>
          <a:off x="2963448" y="2411921"/>
          <a:ext cx="91440" cy="1499605"/>
        </a:xfrm>
        <a:custGeom>
          <a:avLst/>
          <a:gdLst/>
          <a:ahLst/>
          <a:cxnLst/>
          <a:rect l="0" t="0" r="0" b="0"/>
          <a:pathLst>
            <a:path>
              <a:moveTo>
                <a:pt x="45720" y="0"/>
              </a:moveTo>
              <a:lnTo>
                <a:pt x="45720" y="1499605"/>
              </a:lnTo>
              <a:lnTo>
                <a:pt x="132569" y="1499605"/>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8E34EE4-86C8-4825-8C89-7F8622C591A5}">
      <dsp:nvSpPr>
        <dsp:cNvPr id="0" name=""/>
        <dsp:cNvSpPr/>
      </dsp:nvSpPr>
      <dsp:spPr>
        <a:xfrm>
          <a:off x="2963448"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6858752-8592-4427-9C05-544B0C2DA08B}">
      <dsp:nvSpPr>
        <dsp:cNvPr id="0" name=""/>
        <dsp:cNvSpPr/>
      </dsp:nvSpPr>
      <dsp:spPr>
        <a:xfrm>
          <a:off x="2963448"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4AE9728-3D57-4121-9006-9C7431474EE4}">
      <dsp:nvSpPr>
        <dsp:cNvPr id="0" name=""/>
        <dsp:cNvSpPr/>
      </dsp:nvSpPr>
      <dsp:spPr>
        <a:xfrm>
          <a:off x="2963448"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398FD51-39BC-43D7-A728-219B46F9D927}">
      <dsp:nvSpPr>
        <dsp:cNvPr id="0" name=""/>
        <dsp:cNvSpPr/>
      </dsp:nvSpPr>
      <dsp:spPr>
        <a:xfrm>
          <a:off x="3240767" y="2000832"/>
          <a:ext cx="3997981" cy="121589"/>
        </a:xfrm>
        <a:custGeom>
          <a:avLst/>
          <a:gdLst/>
          <a:ahLst/>
          <a:cxnLst/>
          <a:rect l="0" t="0" r="0" b="0"/>
          <a:pathLst>
            <a:path>
              <a:moveTo>
                <a:pt x="3997981" y="0"/>
              </a:moveTo>
              <a:lnTo>
                <a:pt x="3997981" y="60794"/>
              </a:lnTo>
              <a:lnTo>
                <a:pt x="0" y="60794"/>
              </a:lnTo>
              <a:lnTo>
                <a:pt x="0"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4F050AC-1F6F-45B1-8722-44F110766813}">
      <dsp:nvSpPr>
        <dsp:cNvPr id="0" name=""/>
        <dsp:cNvSpPr/>
      </dsp:nvSpPr>
      <dsp:spPr>
        <a:xfrm>
          <a:off x="2262861" y="3234098"/>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E0C7418-3F03-4510-9D56-21F5B3B1D031}">
      <dsp:nvSpPr>
        <dsp:cNvPr id="0" name=""/>
        <dsp:cNvSpPr/>
      </dsp:nvSpPr>
      <dsp:spPr>
        <a:xfrm>
          <a:off x="1839592" y="2823009"/>
          <a:ext cx="700587" cy="121589"/>
        </a:xfrm>
        <a:custGeom>
          <a:avLst/>
          <a:gdLst/>
          <a:ahLst/>
          <a:cxnLst/>
          <a:rect l="0" t="0" r="0" b="0"/>
          <a:pathLst>
            <a:path>
              <a:moveTo>
                <a:pt x="0" y="0"/>
              </a:moveTo>
              <a:lnTo>
                <a:pt x="0" y="60794"/>
              </a:lnTo>
              <a:lnTo>
                <a:pt x="700587" y="60794"/>
              </a:lnTo>
              <a:lnTo>
                <a:pt x="700587"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A876694-BF19-46DE-B452-875368411D68}">
      <dsp:nvSpPr>
        <dsp:cNvPr id="0" name=""/>
        <dsp:cNvSpPr/>
      </dsp:nvSpPr>
      <dsp:spPr>
        <a:xfrm>
          <a:off x="1793872" y="2823009"/>
          <a:ext cx="91440" cy="121589"/>
        </a:xfrm>
        <a:custGeom>
          <a:avLst/>
          <a:gdLst/>
          <a:ahLst/>
          <a:cxnLst/>
          <a:rect l="0" t="0" r="0" b="0"/>
          <a:pathLst>
            <a:path>
              <a:moveTo>
                <a:pt x="45720" y="0"/>
              </a:moveTo>
              <a:lnTo>
                <a:pt x="4572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44CFD28-FFE5-438C-8F93-2EBE2F7C0269}">
      <dsp:nvSpPr>
        <dsp:cNvPr id="0" name=""/>
        <dsp:cNvSpPr/>
      </dsp:nvSpPr>
      <dsp:spPr>
        <a:xfrm>
          <a:off x="861685" y="3234098"/>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4432B7A-B481-44AE-9275-C01945717827}">
      <dsp:nvSpPr>
        <dsp:cNvPr id="0" name=""/>
        <dsp:cNvSpPr/>
      </dsp:nvSpPr>
      <dsp:spPr>
        <a:xfrm>
          <a:off x="861685" y="3234098"/>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970536D-FAFB-4C8D-8037-06295DD6472D}">
      <dsp:nvSpPr>
        <dsp:cNvPr id="0" name=""/>
        <dsp:cNvSpPr/>
      </dsp:nvSpPr>
      <dsp:spPr>
        <a:xfrm>
          <a:off x="1139005" y="2823009"/>
          <a:ext cx="700587" cy="121589"/>
        </a:xfrm>
        <a:custGeom>
          <a:avLst/>
          <a:gdLst/>
          <a:ahLst/>
          <a:cxnLst/>
          <a:rect l="0" t="0" r="0" b="0"/>
          <a:pathLst>
            <a:path>
              <a:moveTo>
                <a:pt x="700587" y="0"/>
              </a:moveTo>
              <a:lnTo>
                <a:pt x="700587" y="60794"/>
              </a:lnTo>
              <a:lnTo>
                <a:pt x="0" y="60794"/>
              </a:lnTo>
              <a:lnTo>
                <a:pt x="0" y="121589"/>
              </a:lnTo>
            </a:path>
          </a:pathLst>
        </a:custGeom>
        <a:noFill/>
        <a:ln w="25400" cap="flat" cmpd="sng" algn="ctr">
          <a:solidFill>
            <a:schemeClr val="accent2">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94CB323-7459-4E10-949F-4ED9FC79477A}">
      <dsp:nvSpPr>
        <dsp:cNvPr id="0" name=""/>
        <dsp:cNvSpPr/>
      </dsp:nvSpPr>
      <dsp:spPr>
        <a:xfrm>
          <a:off x="1793872" y="2411921"/>
          <a:ext cx="91440" cy="121589"/>
        </a:xfrm>
        <a:custGeom>
          <a:avLst/>
          <a:gdLst/>
          <a:ahLst/>
          <a:cxnLst/>
          <a:rect l="0" t="0" r="0" b="0"/>
          <a:pathLst>
            <a:path>
              <a:moveTo>
                <a:pt x="45720" y="0"/>
              </a:moveTo>
              <a:lnTo>
                <a:pt x="45720" y="12158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7AB4ADB-A857-4F76-8685-F2A81693BA44}">
      <dsp:nvSpPr>
        <dsp:cNvPr id="0" name=""/>
        <dsp:cNvSpPr/>
      </dsp:nvSpPr>
      <dsp:spPr>
        <a:xfrm>
          <a:off x="1066630" y="2000832"/>
          <a:ext cx="772962" cy="121589"/>
        </a:xfrm>
        <a:custGeom>
          <a:avLst/>
          <a:gdLst/>
          <a:ahLst/>
          <a:cxnLst/>
          <a:rect l="0" t="0" r="0" b="0"/>
          <a:pathLst>
            <a:path>
              <a:moveTo>
                <a:pt x="0" y="0"/>
              </a:moveTo>
              <a:lnTo>
                <a:pt x="0" y="60794"/>
              </a:lnTo>
              <a:lnTo>
                <a:pt x="772962" y="60794"/>
              </a:lnTo>
              <a:lnTo>
                <a:pt x="772962"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4CADB5A-28C5-4190-86F8-BCF95635D5F2}">
      <dsp:nvSpPr>
        <dsp:cNvPr id="0" name=""/>
        <dsp:cNvSpPr/>
      </dsp:nvSpPr>
      <dsp:spPr>
        <a:xfrm>
          <a:off x="16348" y="2411921"/>
          <a:ext cx="91440" cy="1499605"/>
        </a:xfrm>
        <a:custGeom>
          <a:avLst/>
          <a:gdLst/>
          <a:ahLst/>
          <a:cxnLst/>
          <a:rect l="0" t="0" r="0" b="0"/>
          <a:pathLst>
            <a:path>
              <a:moveTo>
                <a:pt x="45720" y="0"/>
              </a:moveTo>
              <a:lnTo>
                <a:pt x="45720" y="1499605"/>
              </a:lnTo>
              <a:lnTo>
                <a:pt x="132569" y="1499605"/>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005C577-C34E-4108-9C75-E06049D73B11}">
      <dsp:nvSpPr>
        <dsp:cNvPr id="0" name=""/>
        <dsp:cNvSpPr/>
      </dsp:nvSpPr>
      <dsp:spPr>
        <a:xfrm>
          <a:off x="16348" y="2411921"/>
          <a:ext cx="91440" cy="1088516"/>
        </a:xfrm>
        <a:custGeom>
          <a:avLst/>
          <a:gdLst/>
          <a:ahLst/>
          <a:cxnLst/>
          <a:rect l="0" t="0" r="0" b="0"/>
          <a:pathLst>
            <a:path>
              <a:moveTo>
                <a:pt x="45720" y="0"/>
              </a:moveTo>
              <a:lnTo>
                <a:pt x="45720" y="1088516"/>
              </a:lnTo>
              <a:lnTo>
                <a:pt x="132569" y="1088516"/>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F56295-D546-4C31-91CD-AD5695AA4980}">
      <dsp:nvSpPr>
        <dsp:cNvPr id="0" name=""/>
        <dsp:cNvSpPr/>
      </dsp:nvSpPr>
      <dsp:spPr>
        <a:xfrm>
          <a:off x="16348" y="2411921"/>
          <a:ext cx="91440" cy="677427"/>
        </a:xfrm>
        <a:custGeom>
          <a:avLst/>
          <a:gdLst/>
          <a:ahLst/>
          <a:cxnLst/>
          <a:rect l="0" t="0" r="0" b="0"/>
          <a:pathLst>
            <a:path>
              <a:moveTo>
                <a:pt x="45720" y="0"/>
              </a:moveTo>
              <a:lnTo>
                <a:pt x="45720" y="677427"/>
              </a:lnTo>
              <a:lnTo>
                <a:pt x="132569" y="677427"/>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C8E36A6-0B49-41D1-8A97-D670B1ADDBFB}">
      <dsp:nvSpPr>
        <dsp:cNvPr id="0" name=""/>
        <dsp:cNvSpPr/>
      </dsp:nvSpPr>
      <dsp:spPr>
        <a:xfrm>
          <a:off x="16348" y="2411921"/>
          <a:ext cx="91440" cy="266339"/>
        </a:xfrm>
        <a:custGeom>
          <a:avLst/>
          <a:gdLst/>
          <a:ahLst/>
          <a:cxnLst/>
          <a:rect l="0" t="0" r="0" b="0"/>
          <a:pathLst>
            <a:path>
              <a:moveTo>
                <a:pt x="45720" y="0"/>
              </a:moveTo>
              <a:lnTo>
                <a:pt x="45720" y="266339"/>
              </a:lnTo>
              <a:lnTo>
                <a:pt x="132569" y="266339"/>
              </a:lnTo>
            </a:path>
          </a:pathLst>
        </a:custGeom>
        <a:noFill/>
        <a:ln w="25400" cap="flat" cmpd="sng" algn="ctr">
          <a:solidFill>
            <a:schemeClr val="accent1">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34398FC-8D76-471C-995A-6E7D2346047A}">
      <dsp:nvSpPr>
        <dsp:cNvPr id="0" name=""/>
        <dsp:cNvSpPr/>
      </dsp:nvSpPr>
      <dsp:spPr>
        <a:xfrm>
          <a:off x="293667" y="2000832"/>
          <a:ext cx="772962" cy="121589"/>
        </a:xfrm>
        <a:custGeom>
          <a:avLst/>
          <a:gdLst/>
          <a:ahLst/>
          <a:cxnLst/>
          <a:rect l="0" t="0" r="0" b="0"/>
          <a:pathLst>
            <a:path>
              <a:moveTo>
                <a:pt x="772962" y="0"/>
              </a:moveTo>
              <a:lnTo>
                <a:pt x="772962" y="60794"/>
              </a:lnTo>
              <a:lnTo>
                <a:pt x="0" y="60794"/>
              </a:lnTo>
              <a:lnTo>
                <a:pt x="0" y="121589"/>
              </a:lnTo>
            </a:path>
          </a:pathLst>
        </a:custGeom>
        <a:noFill/>
        <a:ln w="25400" cap="flat" cmpd="sng" algn="ctr">
          <a:solidFill>
            <a:schemeClr val="accent6">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400F1F9-7EB9-41D7-BB05-46DCA840A9E4}">
      <dsp:nvSpPr>
        <dsp:cNvPr id="0" name=""/>
        <dsp:cNvSpPr/>
      </dsp:nvSpPr>
      <dsp:spPr>
        <a:xfrm>
          <a:off x="462083" y="1711333"/>
          <a:ext cx="1209092" cy="289499"/>
        </a:xfrm>
        <a:prstGeom prst="rect">
          <a:avLst/>
        </a:prstGeom>
        <a:gradFill rotWithShape="0">
          <a:gsLst>
            <a:gs pos="0">
              <a:schemeClr val="accent4">
                <a:hueOff val="0"/>
                <a:satOff val="0"/>
                <a:lumOff val="0"/>
                <a:alphaOff val="0"/>
                <a:shade val="51000"/>
                <a:satMod val="130000"/>
              </a:schemeClr>
            </a:gs>
            <a:gs pos="80000">
              <a:schemeClr val="accent4">
                <a:hueOff val="0"/>
                <a:satOff val="0"/>
                <a:lumOff val="0"/>
                <a:alphaOff val="0"/>
                <a:shade val="93000"/>
                <a:satMod val="130000"/>
              </a:schemeClr>
            </a:gs>
            <a:gs pos="100000">
              <a:schemeClr val="accent4">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GERENCIAMENTO</a:t>
          </a:r>
        </a:p>
      </dsp:txBody>
      <dsp:txXfrm>
        <a:off x="462083" y="1711333"/>
        <a:ext cx="1209092" cy="289499"/>
      </dsp:txXfrm>
    </dsp:sp>
    <dsp:sp modelId="{870B33F5-4B7C-42CB-A41E-B6450C2B1589}">
      <dsp:nvSpPr>
        <dsp:cNvPr id="0" name=""/>
        <dsp:cNvSpPr/>
      </dsp:nvSpPr>
      <dsp:spPr>
        <a:xfrm>
          <a:off x="4168"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b="1" kern="1200"/>
            <a:t>INÍCIO</a:t>
          </a:r>
          <a:endParaRPr lang="pt-BR" sz="1000" b="1" kern="1200"/>
        </a:p>
      </dsp:txBody>
      <dsp:txXfrm>
        <a:off x="4168" y="2122422"/>
        <a:ext cx="578998" cy="289499"/>
      </dsp:txXfrm>
    </dsp:sp>
    <dsp:sp modelId="{2188183F-756F-4DB8-BD64-8C99E46DB1C1}">
      <dsp:nvSpPr>
        <dsp:cNvPr id="0" name=""/>
        <dsp:cNvSpPr/>
      </dsp:nvSpPr>
      <dsp:spPr>
        <a:xfrm>
          <a:off x="148918"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DEFINIÇÃO </a:t>
          </a:r>
          <a:r>
            <a:rPr lang="pt-BR" sz="500" b="0" kern="1200"/>
            <a:t>DE</a:t>
          </a:r>
          <a:r>
            <a:rPr lang="pt-BR" sz="500" kern="1200"/>
            <a:t> OBJETIVOS DO PROJETO</a:t>
          </a:r>
        </a:p>
      </dsp:txBody>
      <dsp:txXfrm>
        <a:off x="148918" y="2533510"/>
        <a:ext cx="578998" cy="289499"/>
      </dsp:txXfrm>
    </dsp:sp>
    <dsp:sp modelId="{17F7A3BA-A21D-4120-845F-DE69BEDDBBEF}">
      <dsp:nvSpPr>
        <dsp:cNvPr id="0" name=""/>
        <dsp:cNvSpPr/>
      </dsp:nvSpPr>
      <dsp:spPr>
        <a:xfrm>
          <a:off x="148918"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FORMAÇÃO DA EQUIPE DE DESIGN E DESENVOLVIMENTO</a:t>
          </a:r>
        </a:p>
      </dsp:txBody>
      <dsp:txXfrm>
        <a:off x="148918" y="2944599"/>
        <a:ext cx="578998" cy="289499"/>
      </dsp:txXfrm>
    </dsp:sp>
    <dsp:sp modelId="{656BF3EA-28AD-413D-AF2E-2C0FEA905081}">
      <dsp:nvSpPr>
        <dsp:cNvPr id="0" name=""/>
        <dsp:cNvSpPr/>
      </dsp:nvSpPr>
      <dsp:spPr>
        <a:xfrm>
          <a:off x="148918"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IDENTIFICAÇÃO DE FUNCIONALIDADES E RECURSOS</a:t>
          </a:r>
        </a:p>
      </dsp:txBody>
      <dsp:txXfrm>
        <a:off x="148918" y="3355687"/>
        <a:ext cx="578998" cy="289499"/>
      </dsp:txXfrm>
    </dsp:sp>
    <dsp:sp modelId="{F11E0FA5-B364-4F8A-A702-D9613ECD8517}">
      <dsp:nvSpPr>
        <dsp:cNvPr id="0" name=""/>
        <dsp:cNvSpPr/>
      </dsp:nvSpPr>
      <dsp:spPr>
        <a:xfrm>
          <a:off x="148918" y="3766776"/>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IDENTIFICAÇÃO DE STAKEHOLDERS</a:t>
          </a:r>
        </a:p>
      </dsp:txBody>
      <dsp:txXfrm>
        <a:off x="148918" y="3766776"/>
        <a:ext cx="578998" cy="289499"/>
      </dsp:txXfrm>
    </dsp:sp>
    <dsp:sp modelId="{62F4258B-C5E7-4DDD-9EE3-406ED25B322B}">
      <dsp:nvSpPr>
        <dsp:cNvPr id="0" name=""/>
        <dsp:cNvSpPr/>
      </dsp:nvSpPr>
      <dsp:spPr>
        <a:xfrm>
          <a:off x="1550093"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PLANEJAMENTO</a:t>
          </a:r>
          <a:endParaRPr lang="pt-BR" sz="900" b="1" kern="1200"/>
        </a:p>
      </dsp:txBody>
      <dsp:txXfrm>
        <a:off x="1550093" y="2122422"/>
        <a:ext cx="578998" cy="289499"/>
      </dsp:txXfrm>
    </dsp:sp>
    <dsp:sp modelId="{ACF06D77-4611-4650-98EF-5185D810B6AE}">
      <dsp:nvSpPr>
        <dsp:cNvPr id="0" name=""/>
        <dsp:cNvSpPr/>
      </dsp:nvSpPr>
      <dsp:spPr>
        <a:xfrm>
          <a:off x="1550093"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ANÁLISE DE MERCADO</a:t>
          </a:r>
        </a:p>
      </dsp:txBody>
      <dsp:txXfrm>
        <a:off x="1550093" y="2533510"/>
        <a:ext cx="578998" cy="289499"/>
      </dsp:txXfrm>
    </dsp:sp>
    <dsp:sp modelId="{D1291E23-1C8E-4419-B3CD-77D118F1FD12}">
      <dsp:nvSpPr>
        <dsp:cNvPr id="0" name=""/>
        <dsp:cNvSpPr/>
      </dsp:nvSpPr>
      <dsp:spPr>
        <a:xfrm>
          <a:off x="849505"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LEVANTAMENTO DE REQUISITOS</a:t>
          </a:r>
        </a:p>
      </dsp:txBody>
      <dsp:txXfrm>
        <a:off x="849505" y="2944599"/>
        <a:ext cx="578998" cy="289499"/>
      </dsp:txXfrm>
    </dsp:sp>
    <dsp:sp modelId="{27F7AE64-A30D-4D24-959B-7576B13E78D3}">
      <dsp:nvSpPr>
        <dsp:cNvPr id="0" name=""/>
        <dsp:cNvSpPr/>
      </dsp:nvSpPr>
      <dsp:spPr>
        <a:xfrm>
          <a:off x="994255"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b="0" kern="1200"/>
            <a:t> DOCUMENTAÇÃO DE REQUISITOS FUNCIONAIS</a:t>
          </a:r>
          <a:endParaRPr lang="pt-BR" sz="500" kern="1200"/>
        </a:p>
      </dsp:txBody>
      <dsp:txXfrm>
        <a:off x="994255" y="3355687"/>
        <a:ext cx="578998" cy="289499"/>
      </dsp:txXfrm>
    </dsp:sp>
    <dsp:sp modelId="{363B202D-7A87-4A6C-A1F0-102131836434}">
      <dsp:nvSpPr>
        <dsp:cNvPr id="0" name=""/>
        <dsp:cNvSpPr/>
      </dsp:nvSpPr>
      <dsp:spPr>
        <a:xfrm>
          <a:off x="994255"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DOCUMENTAÇÃO DE REQUISITOS NÃO FUNCIONAIS</a:t>
          </a:r>
        </a:p>
      </dsp:txBody>
      <dsp:txXfrm>
        <a:off x="994255" y="3766776"/>
        <a:ext cx="578998" cy="289499"/>
      </dsp:txXfrm>
    </dsp:sp>
    <dsp:sp modelId="{E94B6404-BBAB-4537-B122-22EDBB8BA2BD}">
      <dsp:nvSpPr>
        <dsp:cNvPr id="0" name=""/>
        <dsp:cNvSpPr/>
      </dsp:nvSpPr>
      <dsp:spPr>
        <a:xfrm>
          <a:off x="1550093"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IDENTIFICAÇÃO DO CAMINHO CRÍTICO</a:t>
          </a:r>
        </a:p>
      </dsp:txBody>
      <dsp:txXfrm>
        <a:off x="1550093" y="2944599"/>
        <a:ext cx="578998" cy="289499"/>
      </dsp:txXfrm>
    </dsp:sp>
    <dsp:sp modelId="{F5CC38DF-E659-4FDD-A0D2-126B51300B04}">
      <dsp:nvSpPr>
        <dsp:cNvPr id="0" name=""/>
        <dsp:cNvSpPr/>
      </dsp:nvSpPr>
      <dsp:spPr>
        <a:xfrm>
          <a:off x="2250681"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PLANEJAMENTO DE SEGURANÇA E LGPD</a:t>
          </a:r>
        </a:p>
      </dsp:txBody>
      <dsp:txXfrm>
        <a:off x="2250681" y="2944599"/>
        <a:ext cx="578998" cy="289499"/>
      </dsp:txXfrm>
    </dsp:sp>
    <dsp:sp modelId="{DB806BCD-2DF0-4DBB-BC15-66EC7A00C8F5}">
      <dsp:nvSpPr>
        <dsp:cNvPr id="0" name=""/>
        <dsp:cNvSpPr/>
      </dsp:nvSpPr>
      <dsp:spPr>
        <a:xfrm>
          <a:off x="2395430"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DEFINIÇÃO DE PROTOCOLOS DE PRIVACIDADE</a:t>
          </a:r>
        </a:p>
      </dsp:txBody>
      <dsp:txXfrm>
        <a:off x="2395430" y="3355687"/>
        <a:ext cx="578998" cy="289499"/>
      </dsp:txXfrm>
    </dsp:sp>
    <dsp:sp modelId="{6082EBD5-5DD1-46CB-B838-582F04F3CF74}">
      <dsp:nvSpPr>
        <dsp:cNvPr id="0" name=""/>
        <dsp:cNvSpPr/>
      </dsp:nvSpPr>
      <dsp:spPr>
        <a:xfrm>
          <a:off x="6776564" y="1711333"/>
          <a:ext cx="924370" cy="289499"/>
        </a:xfrm>
        <a:prstGeom prst="rect">
          <a:avLst/>
        </a:prstGeom>
        <a:gradFill rotWithShape="0">
          <a:gsLst>
            <a:gs pos="0">
              <a:schemeClr val="accent4">
                <a:hueOff val="0"/>
                <a:satOff val="0"/>
                <a:lumOff val="0"/>
                <a:alphaOff val="0"/>
                <a:shade val="51000"/>
                <a:satMod val="130000"/>
              </a:schemeClr>
            </a:gs>
            <a:gs pos="80000">
              <a:schemeClr val="accent4">
                <a:hueOff val="0"/>
                <a:satOff val="0"/>
                <a:lumOff val="0"/>
                <a:alphaOff val="0"/>
                <a:shade val="93000"/>
                <a:satMod val="130000"/>
              </a:schemeClr>
            </a:gs>
            <a:gs pos="100000">
              <a:schemeClr val="accent4">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 DESENVOLVIMENTO TÉCNICO</a:t>
          </a:r>
        </a:p>
      </dsp:txBody>
      <dsp:txXfrm>
        <a:off x="6776564" y="1711333"/>
        <a:ext cx="924370" cy="289499"/>
      </dsp:txXfrm>
    </dsp:sp>
    <dsp:sp modelId="{B88F1C60-EBDC-4C39-9D4A-43DE9407F41A}">
      <dsp:nvSpPr>
        <dsp:cNvPr id="0" name=""/>
        <dsp:cNvSpPr/>
      </dsp:nvSpPr>
      <dsp:spPr>
        <a:xfrm>
          <a:off x="2951268"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DESIGN UI </a:t>
          </a:r>
        </a:p>
      </dsp:txBody>
      <dsp:txXfrm>
        <a:off x="2951268" y="2122422"/>
        <a:ext cx="578998" cy="289499"/>
      </dsp:txXfrm>
    </dsp:sp>
    <dsp:sp modelId="{AABF7258-3A68-4C50-8C9F-5B0A348FD5D4}">
      <dsp:nvSpPr>
        <dsp:cNvPr id="0" name=""/>
        <dsp:cNvSpPr/>
      </dsp:nvSpPr>
      <dsp:spPr>
        <a:xfrm>
          <a:off x="3096018"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DEFINIR</a:t>
          </a:r>
          <a:r>
            <a:rPr lang="pt-BR" sz="500" kern="1200" baseline="0"/>
            <a:t> PALETA DE CORES E TIPOGRAFIA</a:t>
          </a:r>
          <a:endParaRPr lang="pt-BR" sz="500" kern="1200"/>
        </a:p>
      </dsp:txBody>
      <dsp:txXfrm>
        <a:off x="3096018" y="2533510"/>
        <a:ext cx="578998" cy="289499"/>
      </dsp:txXfrm>
    </dsp:sp>
    <dsp:sp modelId="{04EFE57A-346A-4D7D-BE14-72E0464E83A8}">
      <dsp:nvSpPr>
        <dsp:cNvPr id="0" name=""/>
        <dsp:cNvSpPr/>
      </dsp:nvSpPr>
      <dsp:spPr>
        <a:xfrm>
          <a:off x="3096018"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CRIAR ÍCONES E ELEMENTOS VISUAIS</a:t>
          </a:r>
        </a:p>
      </dsp:txBody>
      <dsp:txXfrm>
        <a:off x="3096018" y="2944599"/>
        <a:ext cx="578998" cy="289499"/>
      </dsp:txXfrm>
    </dsp:sp>
    <dsp:sp modelId="{F4ABF537-7FFD-4B3A-BD7F-F92CAA13DFB1}">
      <dsp:nvSpPr>
        <dsp:cNvPr id="0" name=""/>
        <dsp:cNvSpPr/>
      </dsp:nvSpPr>
      <dsp:spPr>
        <a:xfrm>
          <a:off x="3096018"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GARANTIR CONSISTÊNCIA VISUAL</a:t>
          </a:r>
        </a:p>
      </dsp:txBody>
      <dsp:txXfrm>
        <a:off x="3096018" y="3355687"/>
        <a:ext cx="578998" cy="289499"/>
      </dsp:txXfrm>
    </dsp:sp>
    <dsp:sp modelId="{25C26CDE-E9C1-45BC-A0A7-BEEA4DD15101}">
      <dsp:nvSpPr>
        <dsp:cNvPr id="0" name=""/>
        <dsp:cNvSpPr/>
      </dsp:nvSpPr>
      <dsp:spPr>
        <a:xfrm>
          <a:off x="3096018" y="3766776"/>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CRIAÇÃO DE PROTÓTIPO INTERATIVO</a:t>
          </a:r>
        </a:p>
      </dsp:txBody>
      <dsp:txXfrm>
        <a:off x="3096018" y="3766776"/>
        <a:ext cx="578998" cy="289499"/>
      </dsp:txXfrm>
    </dsp:sp>
    <dsp:sp modelId="{482DCAEA-9419-4B13-B1A6-ADB76B84C176}">
      <dsp:nvSpPr>
        <dsp:cNvPr id="0" name=""/>
        <dsp:cNvSpPr/>
      </dsp:nvSpPr>
      <dsp:spPr>
        <a:xfrm>
          <a:off x="3651856"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kern="1200"/>
            <a:t>DESIGN UX</a:t>
          </a:r>
        </a:p>
      </dsp:txBody>
      <dsp:txXfrm>
        <a:off x="3651856" y="2122422"/>
        <a:ext cx="578998" cy="289499"/>
      </dsp:txXfrm>
    </dsp:sp>
    <dsp:sp modelId="{7CB1A8DA-E4D9-48D5-946D-7D655D00310B}">
      <dsp:nvSpPr>
        <dsp:cNvPr id="0" name=""/>
        <dsp:cNvSpPr/>
      </dsp:nvSpPr>
      <dsp:spPr>
        <a:xfrm>
          <a:off x="3796606"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DEFINIÇÃO DE</a:t>
          </a:r>
          <a:r>
            <a:rPr lang="pt-BR" sz="500" kern="1200" baseline="0"/>
            <a:t> PERSONAS</a:t>
          </a:r>
          <a:endParaRPr lang="pt-BR" sz="500" kern="1200"/>
        </a:p>
      </dsp:txBody>
      <dsp:txXfrm>
        <a:off x="3796606" y="2533510"/>
        <a:ext cx="578998" cy="289499"/>
      </dsp:txXfrm>
    </dsp:sp>
    <dsp:sp modelId="{787D7592-C060-46FE-841C-899376B07F82}">
      <dsp:nvSpPr>
        <dsp:cNvPr id="0" name=""/>
        <dsp:cNvSpPr/>
      </dsp:nvSpPr>
      <dsp:spPr>
        <a:xfrm>
          <a:off x="3796606"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GARANTIR</a:t>
          </a:r>
          <a:r>
            <a:rPr lang="pt-BR" sz="500" kern="1200" baseline="0"/>
            <a:t> ACESSIBILIDADE E USABILIDADE</a:t>
          </a:r>
          <a:endParaRPr lang="pt-BR" sz="500" kern="1200"/>
        </a:p>
      </dsp:txBody>
      <dsp:txXfrm>
        <a:off x="3796606" y="2944599"/>
        <a:ext cx="578998" cy="289499"/>
      </dsp:txXfrm>
    </dsp:sp>
    <dsp:sp modelId="{5D4275E7-1DDD-4041-B6A5-4A2D33BED9F0}">
      <dsp:nvSpPr>
        <dsp:cNvPr id="0" name=""/>
        <dsp:cNvSpPr/>
      </dsp:nvSpPr>
      <dsp:spPr>
        <a:xfrm>
          <a:off x="3796606"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MAPEAR JORNADA DO USUÁRIO</a:t>
          </a:r>
        </a:p>
      </dsp:txBody>
      <dsp:txXfrm>
        <a:off x="3796606" y="3355687"/>
        <a:ext cx="578998" cy="289499"/>
      </dsp:txXfrm>
    </dsp:sp>
    <dsp:sp modelId="{08D5027A-98A2-41D9-A25B-D422A483B3D4}">
      <dsp:nvSpPr>
        <dsp:cNvPr id="0" name=""/>
        <dsp:cNvSpPr/>
      </dsp:nvSpPr>
      <dsp:spPr>
        <a:xfrm>
          <a:off x="3796606" y="3766776"/>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VALIDAÇÃO</a:t>
          </a:r>
          <a:r>
            <a:rPr lang="pt-BR" sz="500" kern="1200" baseline="0"/>
            <a:t> INICIAL COM STAKEHOLDERS</a:t>
          </a:r>
          <a:endParaRPr lang="pt-BR" sz="500" kern="1200"/>
        </a:p>
      </dsp:txBody>
      <dsp:txXfrm>
        <a:off x="3796606" y="3766776"/>
        <a:ext cx="578998" cy="289499"/>
      </dsp:txXfrm>
    </dsp:sp>
    <dsp:sp modelId="{9F74C05D-795A-4A6D-AD9B-BCB516320ABF}">
      <dsp:nvSpPr>
        <dsp:cNvPr id="0" name=""/>
        <dsp:cNvSpPr/>
      </dsp:nvSpPr>
      <dsp:spPr>
        <a:xfrm>
          <a:off x="6957327" y="2122422"/>
          <a:ext cx="1160659"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6957327" y="2122422"/>
        <a:ext cx="1160659" cy="289499"/>
      </dsp:txXfrm>
    </dsp:sp>
    <dsp:sp modelId="{B14D279A-2EE9-4C38-BB08-E3A848A174A9}">
      <dsp:nvSpPr>
        <dsp:cNvPr id="0" name=""/>
        <dsp:cNvSpPr/>
      </dsp:nvSpPr>
      <dsp:spPr>
        <a:xfrm>
          <a:off x="5795596"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DEFINIR A ESTRUTURA DO SITE</a:t>
          </a:r>
        </a:p>
      </dsp:txBody>
      <dsp:txXfrm>
        <a:off x="5795596" y="2533510"/>
        <a:ext cx="578998" cy="289499"/>
      </dsp:txXfrm>
    </dsp:sp>
    <dsp:sp modelId="{99384343-58C1-49C5-BF73-F6B5C76CF037}">
      <dsp:nvSpPr>
        <dsp:cNvPr id="0" name=""/>
        <dsp:cNvSpPr/>
      </dsp:nvSpPr>
      <dsp:spPr>
        <a:xfrm>
          <a:off x="4497193"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PREPARAÇÃO DO AMBIENTE</a:t>
          </a:r>
        </a:p>
      </dsp:txBody>
      <dsp:txXfrm>
        <a:off x="4497193" y="2944599"/>
        <a:ext cx="578998" cy="289499"/>
      </dsp:txXfrm>
    </dsp:sp>
    <dsp:sp modelId="{BF458C22-9F75-41D2-AB4F-0778B2B5B40B}">
      <dsp:nvSpPr>
        <dsp:cNvPr id="0" name=""/>
        <dsp:cNvSpPr/>
      </dsp:nvSpPr>
      <dsp:spPr>
        <a:xfrm>
          <a:off x="4641943"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CONFIGURAÇÃO DE REPOSITÓRIO GITHUB</a:t>
          </a:r>
        </a:p>
      </dsp:txBody>
      <dsp:txXfrm>
        <a:off x="4641943" y="3355687"/>
        <a:ext cx="578998" cy="289499"/>
      </dsp:txXfrm>
    </dsp:sp>
    <dsp:sp modelId="{46546686-44A6-4337-B36B-572271EDCA5F}">
      <dsp:nvSpPr>
        <dsp:cNvPr id="0" name=""/>
        <dsp:cNvSpPr/>
      </dsp:nvSpPr>
      <dsp:spPr>
        <a:xfrm>
          <a:off x="4641943"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DEFINIÇÃO DO AMBIENTE DE HOSPEDAGEM</a:t>
          </a:r>
        </a:p>
      </dsp:txBody>
      <dsp:txXfrm>
        <a:off x="4641943" y="3766776"/>
        <a:ext cx="578998" cy="289499"/>
      </dsp:txXfrm>
    </dsp:sp>
    <dsp:sp modelId="{CF0448EA-89C9-4DA7-B80B-7A1BEE4FBFA2}">
      <dsp:nvSpPr>
        <dsp:cNvPr id="0" name=""/>
        <dsp:cNvSpPr/>
      </dsp:nvSpPr>
      <dsp:spPr>
        <a:xfrm>
          <a:off x="4641943" y="4177865"/>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INSTALAÇÃO DO ETL E BI</a:t>
          </a:r>
        </a:p>
      </dsp:txBody>
      <dsp:txXfrm>
        <a:off x="4641943" y="4177865"/>
        <a:ext cx="578998" cy="289499"/>
      </dsp:txXfrm>
    </dsp:sp>
    <dsp:sp modelId="{78556E91-42EC-43E1-978E-658D4DDDD109}">
      <dsp:nvSpPr>
        <dsp:cNvPr id="0" name=""/>
        <dsp:cNvSpPr/>
      </dsp:nvSpPr>
      <dsp:spPr>
        <a:xfrm>
          <a:off x="5197781"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CÓDIGO FRONT-END</a:t>
          </a:r>
        </a:p>
      </dsp:txBody>
      <dsp:txXfrm>
        <a:off x="5197781" y="2944599"/>
        <a:ext cx="578998" cy="289499"/>
      </dsp:txXfrm>
    </dsp:sp>
    <dsp:sp modelId="{0696EA4D-BDC7-4143-984E-E4653F1FF589}">
      <dsp:nvSpPr>
        <dsp:cNvPr id="0" name=""/>
        <dsp:cNvSpPr/>
      </dsp:nvSpPr>
      <dsp:spPr>
        <a:xfrm>
          <a:off x="5342530"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ESTRUTURAÇÃO INICIAL DE INTERFACE</a:t>
          </a:r>
        </a:p>
      </dsp:txBody>
      <dsp:txXfrm>
        <a:off x="5342530" y="3355687"/>
        <a:ext cx="578998" cy="289499"/>
      </dsp:txXfrm>
    </dsp:sp>
    <dsp:sp modelId="{F0A31EE9-0D84-4B58-A5FB-9EEBE96B3F18}">
      <dsp:nvSpPr>
        <dsp:cNvPr id="0" name=""/>
        <dsp:cNvSpPr/>
      </dsp:nvSpPr>
      <dsp:spPr>
        <a:xfrm>
          <a:off x="5342530"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IMPLEMENTAÇÃO DE KPIs PRINCIPAIS</a:t>
          </a:r>
        </a:p>
      </dsp:txBody>
      <dsp:txXfrm>
        <a:off x="5342530" y="3766776"/>
        <a:ext cx="578998" cy="289499"/>
      </dsp:txXfrm>
    </dsp:sp>
    <dsp:sp modelId="{A24CCB7F-4321-4494-B9BA-D9654648EAB6}">
      <dsp:nvSpPr>
        <dsp:cNvPr id="0" name=""/>
        <dsp:cNvSpPr/>
      </dsp:nvSpPr>
      <dsp:spPr>
        <a:xfrm>
          <a:off x="5342530" y="4177865"/>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CRIAÇÃO DE GRÁFICOS INTERATIVOS</a:t>
          </a:r>
        </a:p>
      </dsp:txBody>
      <dsp:txXfrm>
        <a:off x="5342530" y="4177865"/>
        <a:ext cx="578998" cy="289499"/>
      </dsp:txXfrm>
    </dsp:sp>
    <dsp:sp modelId="{FD88D524-6B57-4079-A2B6-9CAB4B9479AA}">
      <dsp:nvSpPr>
        <dsp:cNvPr id="0" name=""/>
        <dsp:cNvSpPr/>
      </dsp:nvSpPr>
      <dsp:spPr>
        <a:xfrm>
          <a:off x="5342530" y="4588953"/>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DESENVOLVIMENTO DE FILTROS DINÂMICOS</a:t>
          </a:r>
        </a:p>
      </dsp:txBody>
      <dsp:txXfrm>
        <a:off x="5342530" y="4588953"/>
        <a:ext cx="578998" cy="289499"/>
      </dsp:txXfrm>
    </dsp:sp>
    <dsp:sp modelId="{DF3BF60F-9C5F-4B29-8C19-C4AEF7B49BC1}">
      <dsp:nvSpPr>
        <dsp:cNvPr id="0" name=""/>
        <dsp:cNvSpPr/>
      </dsp:nvSpPr>
      <dsp:spPr>
        <a:xfrm>
          <a:off x="5342530" y="5000042"/>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EXPORTAÇÃO DE RELATÓRIOS</a:t>
          </a:r>
        </a:p>
      </dsp:txBody>
      <dsp:txXfrm>
        <a:off x="5342530" y="5000042"/>
        <a:ext cx="578998" cy="289499"/>
      </dsp:txXfrm>
    </dsp:sp>
    <dsp:sp modelId="{1C849335-50E5-4414-A615-F49699DB7FD2}">
      <dsp:nvSpPr>
        <dsp:cNvPr id="0" name=""/>
        <dsp:cNvSpPr/>
      </dsp:nvSpPr>
      <dsp:spPr>
        <a:xfrm>
          <a:off x="7094000"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CÓDIGO BACK-END</a:t>
          </a:r>
        </a:p>
      </dsp:txBody>
      <dsp:txXfrm>
        <a:off x="7094000" y="2944599"/>
        <a:ext cx="578998" cy="289499"/>
      </dsp:txXfrm>
    </dsp:sp>
    <dsp:sp modelId="{599FA050-92D0-47AA-B5EB-98254295AF14}">
      <dsp:nvSpPr>
        <dsp:cNvPr id="0" name=""/>
        <dsp:cNvSpPr/>
      </dsp:nvSpPr>
      <dsp:spPr>
        <a:xfrm>
          <a:off x="6043118"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ESTRUTURAÇÃO DO BANCO DE DADOS</a:t>
          </a:r>
        </a:p>
      </dsp:txBody>
      <dsp:txXfrm>
        <a:off x="6043118" y="3355687"/>
        <a:ext cx="578998" cy="289499"/>
      </dsp:txXfrm>
    </dsp:sp>
    <dsp:sp modelId="{873223EA-7F68-4528-98BE-9B0AD4B9BA4A}">
      <dsp:nvSpPr>
        <dsp:cNvPr id="0" name=""/>
        <dsp:cNvSpPr/>
      </dsp:nvSpPr>
      <dsp:spPr>
        <a:xfrm>
          <a:off x="6743706"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IMPLEMENTAÇÃO DO PROCESSO ETL</a:t>
          </a:r>
        </a:p>
      </dsp:txBody>
      <dsp:txXfrm>
        <a:off x="6743706" y="3355687"/>
        <a:ext cx="578998" cy="289499"/>
      </dsp:txXfrm>
    </dsp:sp>
    <dsp:sp modelId="{9A1E64F1-90FC-4F6A-9630-A28347507182}">
      <dsp:nvSpPr>
        <dsp:cNvPr id="0" name=""/>
        <dsp:cNvSpPr/>
      </dsp:nvSpPr>
      <dsp:spPr>
        <a:xfrm>
          <a:off x="6888455"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EXTRAÇÃO DE DADOS</a:t>
          </a:r>
        </a:p>
      </dsp:txBody>
      <dsp:txXfrm>
        <a:off x="6888455" y="3766776"/>
        <a:ext cx="578998" cy="289499"/>
      </dsp:txXfrm>
    </dsp:sp>
    <dsp:sp modelId="{8EAEF25F-2DD2-4D54-80B0-B5D386314CBD}">
      <dsp:nvSpPr>
        <dsp:cNvPr id="0" name=""/>
        <dsp:cNvSpPr/>
      </dsp:nvSpPr>
      <dsp:spPr>
        <a:xfrm>
          <a:off x="6888455" y="4177865"/>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TRANSFORMAÇÃO E LIMPEZA DOS DADOS</a:t>
          </a:r>
        </a:p>
      </dsp:txBody>
      <dsp:txXfrm>
        <a:off x="6888455" y="4177865"/>
        <a:ext cx="578998" cy="289499"/>
      </dsp:txXfrm>
    </dsp:sp>
    <dsp:sp modelId="{E8B4E636-F6EE-4FCD-8313-5C10BC0BD96E}">
      <dsp:nvSpPr>
        <dsp:cNvPr id="0" name=""/>
        <dsp:cNvSpPr/>
      </dsp:nvSpPr>
      <dsp:spPr>
        <a:xfrm>
          <a:off x="7444293"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CRIAÇÃO DE APIs PARA INTEGRAÇÃO FRONT-END</a:t>
          </a:r>
        </a:p>
      </dsp:txBody>
      <dsp:txXfrm>
        <a:off x="7444293" y="3355687"/>
        <a:ext cx="578998" cy="289499"/>
      </dsp:txXfrm>
    </dsp:sp>
    <dsp:sp modelId="{78CA72F4-0034-4309-B3A1-F9EB555CDFBB}">
      <dsp:nvSpPr>
        <dsp:cNvPr id="0" name=""/>
        <dsp:cNvSpPr/>
      </dsp:nvSpPr>
      <dsp:spPr>
        <a:xfrm>
          <a:off x="8144881"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IMPLEMENTAÇÃO DE AUTENTICAÇÃO DE PERFIS DE ACESSO </a:t>
          </a:r>
        </a:p>
      </dsp:txBody>
      <dsp:txXfrm>
        <a:off x="8144881" y="3355687"/>
        <a:ext cx="578998" cy="289499"/>
      </dsp:txXfrm>
    </dsp:sp>
    <dsp:sp modelId="{9B9866DE-24EA-425D-AAF9-AA88956DF751}">
      <dsp:nvSpPr>
        <dsp:cNvPr id="0" name=""/>
        <dsp:cNvSpPr/>
      </dsp:nvSpPr>
      <dsp:spPr>
        <a:xfrm>
          <a:off x="8700719"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u="none" kern="1200"/>
            <a:t>DESENVOLVER PRINCIPAIS MÓDULOS DE IA</a:t>
          </a:r>
        </a:p>
      </dsp:txBody>
      <dsp:txXfrm>
        <a:off x="8700719" y="2533510"/>
        <a:ext cx="578998" cy="289499"/>
      </dsp:txXfrm>
    </dsp:sp>
    <dsp:sp modelId="{CD330AB0-A63B-49B7-BE13-963320C41952}">
      <dsp:nvSpPr>
        <dsp:cNvPr id="0" name=""/>
        <dsp:cNvSpPr/>
      </dsp:nvSpPr>
      <dsp:spPr>
        <a:xfrm>
          <a:off x="8700719"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DESENVOLVIMENTO DE FAQ INTERATIVO</a:t>
          </a:r>
        </a:p>
      </dsp:txBody>
      <dsp:txXfrm>
        <a:off x="8700719" y="2944599"/>
        <a:ext cx="578998" cy="289499"/>
      </dsp:txXfrm>
    </dsp:sp>
    <dsp:sp modelId="{DF49C9AB-B8F0-4060-A5B9-6FA0BFF1534C}">
      <dsp:nvSpPr>
        <dsp:cNvPr id="0" name=""/>
        <dsp:cNvSpPr/>
      </dsp:nvSpPr>
      <dsp:spPr>
        <a:xfrm>
          <a:off x="8845469"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DEFINIÇÃO DAS PERGUNTAS FREQUENTES (FAQ)</a:t>
          </a:r>
        </a:p>
      </dsp:txBody>
      <dsp:txXfrm>
        <a:off x="8845469" y="3355687"/>
        <a:ext cx="578998" cy="289499"/>
      </dsp:txXfrm>
    </dsp:sp>
    <dsp:sp modelId="{43AD2866-D424-4AF3-A100-EFC5B325B720}">
      <dsp:nvSpPr>
        <dsp:cNvPr id="0" name=""/>
        <dsp:cNvSpPr/>
      </dsp:nvSpPr>
      <dsp:spPr>
        <a:xfrm>
          <a:off x="8845469"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TREINAMENTO DO CHATBOT COM AS RESPOSTAS</a:t>
          </a:r>
        </a:p>
      </dsp:txBody>
      <dsp:txXfrm>
        <a:off x="8845469" y="3766776"/>
        <a:ext cx="578998" cy="289499"/>
      </dsp:txXfrm>
    </dsp:sp>
    <dsp:sp modelId="{FCBBA2A9-5C6A-41BE-97FE-E1F3CF9D436A}">
      <dsp:nvSpPr>
        <dsp:cNvPr id="0" name=""/>
        <dsp:cNvSpPr/>
      </dsp:nvSpPr>
      <dsp:spPr>
        <a:xfrm>
          <a:off x="8845469" y="4177865"/>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INTEGRAÇÃO AO DASHBOARD (WEB OU APP)</a:t>
          </a:r>
        </a:p>
      </dsp:txBody>
      <dsp:txXfrm>
        <a:off x="8845469" y="4177865"/>
        <a:ext cx="578998" cy="289499"/>
      </dsp:txXfrm>
    </dsp:sp>
    <dsp:sp modelId="{F0D0E67C-C846-484A-B367-108D466DB8D7}">
      <dsp:nvSpPr>
        <dsp:cNvPr id="0" name=""/>
        <dsp:cNvSpPr/>
      </dsp:nvSpPr>
      <dsp:spPr>
        <a:xfrm>
          <a:off x="8845469" y="4588953"/>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Font typeface="Arial" panose="020B0604020202020204" pitchFamily="34" charset="0"/>
            <a:buNone/>
          </a:pPr>
          <a:r>
            <a:rPr lang="pt-BR" sz="500" kern="1200"/>
            <a:t>TESTES DE USABILIDADE COM STAKEHOLDERS</a:t>
          </a:r>
        </a:p>
      </dsp:txBody>
      <dsp:txXfrm>
        <a:off x="8845469" y="4588953"/>
        <a:ext cx="578998" cy="289499"/>
      </dsp:txXfrm>
    </dsp:sp>
    <dsp:sp modelId="{DC606F7D-0512-4822-84C6-5204BC7E58AA}">
      <dsp:nvSpPr>
        <dsp:cNvPr id="0" name=""/>
        <dsp:cNvSpPr/>
      </dsp:nvSpPr>
      <dsp:spPr>
        <a:xfrm>
          <a:off x="9401307"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INTEGRAÇÃO </a:t>
          </a:r>
        </a:p>
      </dsp:txBody>
      <dsp:txXfrm>
        <a:off x="9401307" y="2122422"/>
        <a:ext cx="578998" cy="289499"/>
      </dsp:txXfrm>
    </dsp:sp>
    <dsp:sp modelId="{6C7766F8-3CA4-4B55-A2B1-A9A57BDBAE31}">
      <dsp:nvSpPr>
        <dsp:cNvPr id="0" name=""/>
        <dsp:cNvSpPr/>
      </dsp:nvSpPr>
      <dsp:spPr>
        <a:xfrm>
          <a:off x="9546056"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INTEGRAÇÃO DE FONTES DE DADOS </a:t>
          </a:r>
        </a:p>
      </dsp:txBody>
      <dsp:txXfrm>
        <a:off x="9546056" y="2533510"/>
        <a:ext cx="578998" cy="289499"/>
      </dsp:txXfrm>
    </dsp:sp>
    <dsp:sp modelId="{4FCB0235-D840-4E32-AF87-A5EC10F1D21A}">
      <dsp:nvSpPr>
        <dsp:cNvPr id="0" name=""/>
        <dsp:cNvSpPr/>
      </dsp:nvSpPr>
      <dsp:spPr>
        <a:xfrm>
          <a:off x="9546056"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GARANTIR A SEGURANÇA E PRIVACIDADE </a:t>
          </a:r>
        </a:p>
      </dsp:txBody>
      <dsp:txXfrm>
        <a:off x="9546056" y="2944599"/>
        <a:ext cx="578998" cy="289499"/>
      </dsp:txXfrm>
    </dsp:sp>
    <dsp:sp modelId="{0A63D2F4-C327-4936-997D-E8A37FF9B974}">
      <dsp:nvSpPr>
        <dsp:cNvPr id="0" name=""/>
        <dsp:cNvSpPr/>
      </dsp:nvSpPr>
      <dsp:spPr>
        <a:xfrm>
          <a:off x="9546056"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Font typeface="Arial" panose="020B0604020202020204" pitchFamily="34" charset="0"/>
            <a:buNone/>
          </a:pPr>
          <a:r>
            <a:rPr lang="pt-BR" sz="500" kern="1200"/>
            <a:t>SINCRONIZAÇÃO DE DADOS NO BANCO PRINCIPAL</a:t>
          </a:r>
        </a:p>
      </dsp:txBody>
      <dsp:txXfrm>
        <a:off x="9546056" y="3355687"/>
        <a:ext cx="578998" cy="289499"/>
      </dsp:txXfrm>
    </dsp:sp>
    <dsp:sp modelId="{4CE408D0-F3D2-47E9-9B4D-994714D670D2}">
      <dsp:nvSpPr>
        <dsp:cNvPr id="0" name=""/>
        <dsp:cNvSpPr/>
      </dsp:nvSpPr>
      <dsp:spPr>
        <a:xfrm>
          <a:off x="10947232"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TESTES</a:t>
          </a:r>
        </a:p>
      </dsp:txBody>
      <dsp:txXfrm>
        <a:off x="10947232" y="2122422"/>
        <a:ext cx="578998" cy="289499"/>
      </dsp:txXfrm>
    </dsp:sp>
    <dsp:sp modelId="{C83F4A0E-1E92-4983-AFFC-CBBF607C3D31}">
      <dsp:nvSpPr>
        <dsp:cNvPr id="0" name=""/>
        <dsp:cNvSpPr/>
      </dsp:nvSpPr>
      <dsp:spPr>
        <a:xfrm>
          <a:off x="10246644"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TESTES UNITÁRIOS</a:t>
          </a:r>
        </a:p>
      </dsp:txBody>
      <dsp:txXfrm>
        <a:off x="10246644" y="2533510"/>
        <a:ext cx="578998" cy="289499"/>
      </dsp:txXfrm>
    </dsp:sp>
    <dsp:sp modelId="{E215F77F-8CA8-4A30-9C75-86BA56D3C21F}">
      <dsp:nvSpPr>
        <dsp:cNvPr id="0" name=""/>
        <dsp:cNvSpPr/>
      </dsp:nvSpPr>
      <dsp:spPr>
        <a:xfrm>
          <a:off x="10391394"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b="1" kern="1200"/>
            <a:t>DEFINIÇÃO DE CENÁRIOS DE TESTE</a:t>
          </a:r>
          <a:endParaRPr lang="pt-BR" sz="500" kern="1200"/>
        </a:p>
      </dsp:txBody>
      <dsp:txXfrm>
        <a:off x="10391394" y="2944599"/>
        <a:ext cx="578998" cy="289499"/>
      </dsp:txXfrm>
    </dsp:sp>
    <dsp:sp modelId="{B2F4EA58-C736-4168-8B7E-208A9B8BD3E7}">
      <dsp:nvSpPr>
        <dsp:cNvPr id="0" name=""/>
        <dsp:cNvSpPr/>
      </dsp:nvSpPr>
      <dsp:spPr>
        <a:xfrm>
          <a:off x="10391394"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REGISTROS DE RESULTADOS EM RELATÓRIOS DE TESTES</a:t>
          </a:r>
        </a:p>
      </dsp:txBody>
      <dsp:txXfrm>
        <a:off x="10391394" y="3355687"/>
        <a:ext cx="578998" cy="289499"/>
      </dsp:txXfrm>
    </dsp:sp>
    <dsp:sp modelId="{9D869396-0DB3-4E56-B5C3-B8ECD17AE0CF}">
      <dsp:nvSpPr>
        <dsp:cNvPr id="0" name=""/>
        <dsp:cNvSpPr/>
      </dsp:nvSpPr>
      <dsp:spPr>
        <a:xfrm>
          <a:off x="10391394"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CORREÇÃO DE BUGS IDENTIFICADOS</a:t>
          </a:r>
        </a:p>
      </dsp:txBody>
      <dsp:txXfrm>
        <a:off x="10391394" y="3766776"/>
        <a:ext cx="578998" cy="289499"/>
      </dsp:txXfrm>
    </dsp:sp>
    <dsp:sp modelId="{F7FDFD22-E9B9-453B-AFC5-19DA41875544}">
      <dsp:nvSpPr>
        <dsp:cNvPr id="0" name=""/>
        <dsp:cNvSpPr/>
      </dsp:nvSpPr>
      <dsp:spPr>
        <a:xfrm>
          <a:off x="10947232"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TESTES DE USABILIDADE</a:t>
          </a:r>
        </a:p>
      </dsp:txBody>
      <dsp:txXfrm>
        <a:off x="10947232" y="2533510"/>
        <a:ext cx="578998" cy="289499"/>
      </dsp:txXfrm>
    </dsp:sp>
    <dsp:sp modelId="{98635E63-D08B-443D-A7B8-991D83873676}">
      <dsp:nvSpPr>
        <dsp:cNvPr id="0" name=""/>
        <dsp:cNvSpPr/>
      </dsp:nvSpPr>
      <dsp:spPr>
        <a:xfrm>
          <a:off x="11091981"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APLICAÇÃO DE TESTES PILOTO COM USUÁRIOS </a:t>
          </a:r>
        </a:p>
      </dsp:txBody>
      <dsp:txXfrm>
        <a:off x="11091981" y="2944599"/>
        <a:ext cx="578998" cy="289499"/>
      </dsp:txXfrm>
    </dsp:sp>
    <dsp:sp modelId="{D440159E-E985-4C77-AF65-E9414A6578AE}">
      <dsp:nvSpPr>
        <dsp:cNvPr id="0" name=""/>
        <dsp:cNvSpPr/>
      </dsp:nvSpPr>
      <dsp:spPr>
        <a:xfrm>
          <a:off x="11091981"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COLETA DE FEEDBACK SOBRE NAVEGAÇÃO</a:t>
          </a:r>
        </a:p>
      </dsp:txBody>
      <dsp:txXfrm>
        <a:off x="11091981" y="3355687"/>
        <a:ext cx="578998" cy="289499"/>
      </dsp:txXfrm>
    </dsp:sp>
    <dsp:sp modelId="{23D87327-71F4-48D0-986F-7F66A9CA5030}">
      <dsp:nvSpPr>
        <dsp:cNvPr id="0" name=""/>
        <dsp:cNvSpPr/>
      </dsp:nvSpPr>
      <dsp:spPr>
        <a:xfrm>
          <a:off x="11091981"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VALIDAÇÃO DE RESPONSIVIDADE</a:t>
          </a:r>
        </a:p>
      </dsp:txBody>
      <dsp:txXfrm>
        <a:off x="11091981" y="3766776"/>
        <a:ext cx="578998" cy="289499"/>
      </dsp:txXfrm>
    </dsp:sp>
    <dsp:sp modelId="{705E3CF3-AD29-44CF-8A21-A256A4236ECA}">
      <dsp:nvSpPr>
        <dsp:cNvPr id="0" name=""/>
        <dsp:cNvSpPr/>
      </dsp:nvSpPr>
      <dsp:spPr>
        <a:xfrm>
          <a:off x="11647819"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HOMOLOGAÇÃO</a:t>
          </a:r>
        </a:p>
      </dsp:txBody>
      <dsp:txXfrm>
        <a:off x="11647819" y="2533510"/>
        <a:ext cx="578998" cy="289499"/>
      </dsp:txXfrm>
    </dsp:sp>
    <dsp:sp modelId="{38B49250-75E7-4441-9A27-39B3670C462C}">
      <dsp:nvSpPr>
        <dsp:cNvPr id="0" name=""/>
        <dsp:cNvSpPr/>
      </dsp:nvSpPr>
      <dsp:spPr>
        <a:xfrm>
          <a:off x="11792569" y="2944599"/>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PREPARAÇÃO DE AMBIENTE DE HOMOLOGAÇÃO</a:t>
          </a:r>
        </a:p>
      </dsp:txBody>
      <dsp:txXfrm>
        <a:off x="11792569" y="2944599"/>
        <a:ext cx="578998" cy="289499"/>
      </dsp:txXfrm>
    </dsp:sp>
    <dsp:sp modelId="{9BCCBE2B-EE0E-4E62-84A7-131453F261FE}">
      <dsp:nvSpPr>
        <dsp:cNvPr id="0" name=""/>
        <dsp:cNvSpPr/>
      </dsp:nvSpPr>
      <dsp:spPr>
        <a:xfrm>
          <a:off x="11792569" y="3355687"/>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DEMONSTRAÇÃO DO DASHBOARD PARA O CLIENTE</a:t>
          </a:r>
        </a:p>
      </dsp:txBody>
      <dsp:txXfrm>
        <a:off x="11792569" y="3355687"/>
        <a:ext cx="578998" cy="289499"/>
      </dsp:txXfrm>
    </dsp:sp>
    <dsp:sp modelId="{7D351816-7249-4C05-91C0-3491952B7781}">
      <dsp:nvSpPr>
        <dsp:cNvPr id="0" name=""/>
        <dsp:cNvSpPr/>
      </dsp:nvSpPr>
      <dsp:spPr>
        <a:xfrm>
          <a:off x="11792569" y="3766776"/>
          <a:ext cx="578998" cy="289499"/>
        </a:xfrm>
        <a:prstGeom prst="rect">
          <a:avLst/>
        </a:prstGeom>
        <a:gradFill rotWithShape="0">
          <a:gsLst>
            <a:gs pos="0">
              <a:schemeClr val="accent2">
                <a:hueOff val="0"/>
                <a:satOff val="0"/>
                <a:lumOff val="0"/>
                <a:alphaOff val="0"/>
                <a:shade val="51000"/>
                <a:satMod val="130000"/>
              </a:schemeClr>
            </a:gs>
            <a:gs pos="80000">
              <a:schemeClr val="accent2">
                <a:hueOff val="0"/>
                <a:satOff val="0"/>
                <a:lumOff val="0"/>
                <a:alphaOff val="0"/>
                <a:shade val="93000"/>
                <a:satMod val="130000"/>
              </a:schemeClr>
            </a:gs>
            <a:gs pos="100000">
              <a:schemeClr val="accent2">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AJUSTES FINAIS E LIBERAÇÃO PARA PRODUÇÃO</a:t>
          </a:r>
        </a:p>
      </dsp:txBody>
      <dsp:txXfrm>
        <a:off x="11792569" y="3766776"/>
        <a:ext cx="578998" cy="289499"/>
      </dsp:txXfrm>
    </dsp:sp>
    <dsp:sp modelId="{ADEAA3FF-F634-47DE-8844-A10560CC1EC8}">
      <dsp:nvSpPr>
        <dsp:cNvPr id="0" name=""/>
        <dsp:cNvSpPr/>
      </dsp:nvSpPr>
      <dsp:spPr>
        <a:xfrm>
          <a:off x="13155015" y="1711333"/>
          <a:ext cx="1067545" cy="289499"/>
        </a:xfrm>
        <a:prstGeom prst="rect">
          <a:avLst/>
        </a:prstGeom>
        <a:gradFill rotWithShape="0">
          <a:gsLst>
            <a:gs pos="0">
              <a:schemeClr val="accent4">
                <a:hueOff val="0"/>
                <a:satOff val="0"/>
                <a:lumOff val="0"/>
                <a:alphaOff val="0"/>
                <a:shade val="51000"/>
                <a:satMod val="130000"/>
              </a:schemeClr>
            </a:gs>
            <a:gs pos="80000">
              <a:schemeClr val="accent4">
                <a:hueOff val="0"/>
                <a:satOff val="0"/>
                <a:lumOff val="0"/>
                <a:alphaOff val="0"/>
                <a:shade val="93000"/>
                <a:satMod val="130000"/>
              </a:schemeClr>
            </a:gs>
            <a:gs pos="100000">
              <a:schemeClr val="accent4">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PÓS IMPLANTAÇÃO/</a:t>
          </a:r>
        </a:p>
        <a:p>
          <a:pPr marL="0" lvl="0" indent="0" algn="ctr" defTabSz="355600">
            <a:lnSpc>
              <a:spcPct val="90000"/>
            </a:lnSpc>
            <a:spcBef>
              <a:spcPct val="0"/>
            </a:spcBef>
            <a:spcAft>
              <a:spcPct val="35000"/>
            </a:spcAft>
            <a:buNone/>
          </a:pPr>
          <a:r>
            <a:rPr lang="pt-BR" sz="800" b="1" kern="1200"/>
            <a:t>MANUTENÇÃO</a:t>
          </a:r>
        </a:p>
      </dsp:txBody>
      <dsp:txXfrm>
        <a:off x="13155015" y="1711333"/>
        <a:ext cx="1067545" cy="289499"/>
      </dsp:txXfrm>
    </dsp:sp>
    <dsp:sp modelId="{8B66C7DD-A74C-42D6-9053-6474A7B6F3F7}">
      <dsp:nvSpPr>
        <dsp:cNvPr id="0" name=""/>
        <dsp:cNvSpPr/>
      </dsp:nvSpPr>
      <dsp:spPr>
        <a:xfrm>
          <a:off x="12348407"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LANÇAMENTO</a:t>
          </a:r>
        </a:p>
      </dsp:txBody>
      <dsp:txXfrm>
        <a:off x="12348407" y="2122422"/>
        <a:ext cx="578998" cy="289499"/>
      </dsp:txXfrm>
    </dsp:sp>
    <dsp:sp modelId="{DADE0B48-34D6-4A90-B868-AC45CED4B994}">
      <dsp:nvSpPr>
        <dsp:cNvPr id="0" name=""/>
        <dsp:cNvSpPr/>
      </dsp:nvSpPr>
      <dsp:spPr>
        <a:xfrm>
          <a:off x="12493157"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ATIVAÇÃO</a:t>
          </a:r>
          <a:r>
            <a:rPr lang="pt-BR" sz="500" kern="1200" baseline="0"/>
            <a:t> DO DASHBOARD EM PRODUÇÃO</a:t>
          </a:r>
          <a:endParaRPr lang="pt-BR" sz="500" kern="1200"/>
        </a:p>
      </dsp:txBody>
      <dsp:txXfrm>
        <a:off x="12493157" y="2533510"/>
        <a:ext cx="578998" cy="289499"/>
      </dsp:txXfrm>
    </dsp:sp>
    <dsp:sp modelId="{A61B1158-AD48-4FDE-9AD6-9D79FABF5551}">
      <dsp:nvSpPr>
        <dsp:cNvPr id="0" name=""/>
        <dsp:cNvSpPr/>
      </dsp:nvSpPr>
      <dsp:spPr>
        <a:xfrm>
          <a:off x="12493157"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MONITORAMENTO</a:t>
          </a:r>
          <a:r>
            <a:rPr lang="pt-BR" sz="500" kern="1200" baseline="0"/>
            <a:t> NAS PRIMEIRAS HORAS DE USO </a:t>
          </a:r>
          <a:endParaRPr lang="pt-BR" sz="500" kern="1200"/>
        </a:p>
      </dsp:txBody>
      <dsp:txXfrm>
        <a:off x="12493157" y="2944599"/>
        <a:ext cx="578998" cy="289499"/>
      </dsp:txXfrm>
    </dsp:sp>
    <dsp:sp modelId="{436B62E2-FB7F-4E75-8F1D-09D806E30211}">
      <dsp:nvSpPr>
        <dsp:cNvPr id="0" name=""/>
        <dsp:cNvSpPr/>
      </dsp:nvSpPr>
      <dsp:spPr>
        <a:xfrm>
          <a:off x="12493157"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SUPORTE</a:t>
          </a:r>
          <a:r>
            <a:rPr lang="pt-BR" sz="500" kern="1200" baseline="0"/>
            <a:t> INICIAL </a:t>
          </a:r>
          <a:endParaRPr lang="pt-BR" sz="500" kern="1200"/>
        </a:p>
      </dsp:txBody>
      <dsp:txXfrm>
        <a:off x="12493157" y="3355687"/>
        <a:ext cx="578998" cy="289499"/>
      </dsp:txXfrm>
    </dsp:sp>
    <dsp:sp modelId="{0AD35396-15D9-47B2-9AD9-41BFAEE0D928}">
      <dsp:nvSpPr>
        <dsp:cNvPr id="0" name=""/>
        <dsp:cNvSpPr/>
      </dsp:nvSpPr>
      <dsp:spPr>
        <a:xfrm>
          <a:off x="12493157" y="3766776"/>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REUNIÃO DE ALINHAMENTO COM STAKEHOLDERS</a:t>
          </a:r>
        </a:p>
      </dsp:txBody>
      <dsp:txXfrm>
        <a:off x="12493157" y="3766776"/>
        <a:ext cx="578998" cy="289499"/>
      </dsp:txXfrm>
    </dsp:sp>
    <dsp:sp modelId="{05F683E2-330C-40C4-9190-E65F5EDC75CF}">
      <dsp:nvSpPr>
        <dsp:cNvPr id="0" name=""/>
        <dsp:cNvSpPr/>
      </dsp:nvSpPr>
      <dsp:spPr>
        <a:xfrm>
          <a:off x="13048995"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PÓS-LANÇAMENTO</a:t>
          </a:r>
        </a:p>
      </dsp:txBody>
      <dsp:txXfrm>
        <a:off x="13048995" y="2122422"/>
        <a:ext cx="578998" cy="289499"/>
      </dsp:txXfrm>
    </dsp:sp>
    <dsp:sp modelId="{A5DF8A86-0097-443C-87C2-CF899ADE7DE2}">
      <dsp:nvSpPr>
        <dsp:cNvPr id="0" name=""/>
        <dsp:cNvSpPr/>
      </dsp:nvSpPr>
      <dsp:spPr>
        <a:xfrm>
          <a:off x="13193744"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MONITORAÇÃO DE MÉTRICAS DE USO DO DASHBOARD</a:t>
          </a:r>
        </a:p>
      </dsp:txBody>
      <dsp:txXfrm>
        <a:off x="13193744" y="2533510"/>
        <a:ext cx="578998" cy="289499"/>
      </dsp:txXfrm>
    </dsp:sp>
    <dsp:sp modelId="{C0C66002-6539-4A5A-A569-82420CBEF5EF}">
      <dsp:nvSpPr>
        <dsp:cNvPr id="0" name=""/>
        <dsp:cNvSpPr/>
      </dsp:nvSpPr>
      <dsp:spPr>
        <a:xfrm>
          <a:off x="13193744"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REALIZAÇÃO DE ATUALIZAÇÕES </a:t>
          </a:r>
        </a:p>
      </dsp:txBody>
      <dsp:txXfrm>
        <a:off x="13193744" y="2944599"/>
        <a:ext cx="578998" cy="289499"/>
      </dsp:txXfrm>
    </dsp:sp>
    <dsp:sp modelId="{0E86C646-21FD-4A5A-B8EB-13EEC8D4DB3B}">
      <dsp:nvSpPr>
        <dsp:cNvPr id="0" name=""/>
        <dsp:cNvSpPr/>
      </dsp:nvSpPr>
      <dsp:spPr>
        <a:xfrm>
          <a:off x="13193744"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SUPORTE E SOLUÇÃO PARA STAKHOLDERS</a:t>
          </a:r>
        </a:p>
      </dsp:txBody>
      <dsp:txXfrm>
        <a:off x="13193744" y="3355687"/>
        <a:ext cx="578998" cy="289499"/>
      </dsp:txXfrm>
    </dsp:sp>
    <dsp:sp modelId="{F4C31505-D6DF-47AA-9843-C7210EBB4F84}">
      <dsp:nvSpPr>
        <dsp:cNvPr id="0" name=""/>
        <dsp:cNvSpPr/>
      </dsp:nvSpPr>
      <dsp:spPr>
        <a:xfrm>
          <a:off x="13749582"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b="1" kern="1200"/>
            <a:t>AVALIAÇÃO</a:t>
          </a:r>
        </a:p>
        <a:p>
          <a:pPr marL="0" lvl="0" indent="0" algn="ctr" defTabSz="222250">
            <a:lnSpc>
              <a:spcPct val="90000"/>
            </a:lnSpc>
            <a:spcBef>
              <a:spcPct val="0"/>
            </a:spcBef>
            <a:spcAft>
              <a:spcPct val="35000"/>
            </a:spcAft>
            <a:buNone/>
          </a:pPr>
          <a:r>
            <a:rPr lang="pt-BR" sz="500" b="1" kern="1200"/>
            <a:t>E APERFEICOAMENTO</a:t>
          </a:r>
        </a:p>
      </dsp:txBody>
      <dsp:txXfrm>
        <a:off x="13749582" y="2122422"/>
        <a:ext cx="578998" cy="289499"/>
      </dsp:txXfrm>
    </dsp:sp>
    <dsp:sp modelId="{E0236C2B-A9D3-4E97-8A2C-9AEC28E97E16}">
      <dsp:nvSpPr>
        <dsp:cNvPr id="0" name=""/>
        <dsp:cNvSpPr/>
      </dsp:nvSpPr>
      <dsp:spPr>
        <a:xfrm>
          <a:off x="13894332"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COLETA DE FEEDBACKS</a:t>
          </a:r>
        </a:p>
      </dsp:txBody>
      <dsp:txXfrm>
        <a:off x="13894332" y="2533510"/>
        <a:ext cx="578998" cy="289499"/>
      </dsp:txXfrm>
    </dsp:sp>
    <dsp:sp modelId="{37EA8AB1-7584-4A32-9145-69668D71E8F4}">
      <dsp:nvSpPr>
        <dsp:cNvPr id="0" name=""/>
        <dsp:cNvSpPr/>
      </dsp:nvSpPr>
      <dsp:spPr>
        <a:xfrm>
          <a:off x="13894332"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IMPLEMENTAÇÃO DE MELHORIAS CONTÍNUAS </a:t>
          </a:r>
        </a:p>
      </dsp:txBody>
      <dsp:txXfrm>
        <a:off x="13894332" y="2944599"/>
        <a:ext cx="578998" cy="289499"/>
      </dsp:txXfrm>
    </dsp:sp>
    <dsp:sp modelId="{2477F0E8-C553-4E88-927C-3C8AE2E8F105}">
      <dsp:nvSpPr>
        <dsp:cNvPr id="0" name=""/>
        <dsp:cNvSpPr/>
      </dsp:nvSpPr>
      <dsp:spPr>
        <a:xfrm>
          <a:off x="13894332" y="3355687"/>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ADAPTAÇÃO  AO MERCADO</a:t>
          </a:r>
        </a:p>
      </dsp:txBody>
      <dsp:txXfrm>
        <a:off x="13894332" y="3355687"/>
        <a:ext cx="578998" cy="289499"/>
      </dsp:txXfrm>
    </dsp:sp>
    <dsp:sp modelId="{BE47A5DE-EE30-49CB-AFBD-8B1C93DA5FCE}">
      <dsp:nvSpPr>
        <dsp:cNvPr id="0" name=""/>
        <dsp:cNvSpPr/>
      </dsp:nvSpPr>
      <dsp:spPr>
        <a:xfrm>
          <a:off x="14450170" y="2122422"/>
          <a:ext cx="578998" cy="289499"/>
        </a:xfrm>
        <a:prstGeom prst="rect">
          <a:avLst/>
        </a:prstGeom>
        <a:gradFill rotWithShape="0">
          <a:gsLst>
            <a:gs pos="0">
              <a:schemeClr val="accent6">
                <a:hueOff val="0"/>
                <a:satOff val="0"/>
                <a:lumOff val="0"/>
                <a:alphaOff val="0"/>
                <a:shade val="51000"/>
                <a:satMod val="130000"/>
              </a:schemeClr>
            </a:gs>
            <a:gs pos="80000">
              <a:schemeClr val="accent6">
                <a:hueOff val="0"/>
                <a:satOff val="0"/>
                <a:lumOff val="0"/>
                <a:alphaOff val="0"/>
                <a:shade val="93000"/>
                <a:satMod val="130000"/>
              </a:schemeClr>
            </a:gs>
            <a:gs pos="100000">
              <a:schemeClr val="accent6">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810" tIns="3810" rIns="3810" bIns="3810" numCol="1" spcCol="1270" anchor="ctr" anchorCtr="0">
          <a:noAutofit/>
        </a:bodyPr>
        <a:lstStyle/>
        <a:p>
          <a:pPr marL="0" lvl="0" indent="0" algn="ctr" defTabSz="266700">
            <a:lnSpc>
              <a:spcPct val="90000"/>
            </a:lnSpc>
            <a:spcBef>
              <a:spcPct val="0"/>
            </a:spcBef>
            <a:spcAft>
              <a:spcPct val="35000"/>
            </a:spcAft>
            <a:buNone/>
          </a:pPr>
          <a:r>
            <a:rPr lang="pt-BR" sz="600" b="1" kern="1200"/>
            <a:t>EXPANSÃO</a:t>
          </a:r>
        </a:p>
      </dsp:txBody>
      <dsp:txXfrm>
        <a:off x="14450170" y="2122422"/>
        <a:ext cx="578998" cy="289499"/>
      </dsp:txXfrm>
    </dsp:sp>
    <dsp:sp modelId="{EA71E183-84E8-48D4-A9A6-8F0910470349}">
      <dsp:nvSpPr>
        <dsp:cNvPr id="0" name=""/>
        <dsp:cNvSpPr/>
      </dsp:nvSpPr>
      <dsp:spPr>
        <a:xfrm>
          <a:off x="14594920" y="2533510"/>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ANÁLISE DE OPORTUNIDADES DE NOVOS SEGMENTOS</a:t>
          </a:r>
        </a:p>
      </dsp:txBody>
      <dsp:txXfrm>
        <a:off x="14594920" y="2533510"/>
        <a:ext cx="578998" cy="289499"/>
      </dsp:txXfrm>
    </dsp:sp>
    <dsp:sp modelId="{9604BD11-597B-45A2-8DAF-0E2330BF583C}">
      <dsp:nvSpPr>
        <dsp:cNvPr id="0" name=""/>
        <dsp:cNvSpPr/>
      </dsp:nvSpPr>
      <dsp:spPr>
        <a:xfrm>
          <a:off x="14594920" y="2944599"/>
          <a:ext cx="578998" cy="289499"/>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dsp:spPr>
      <dsp:style>
        <a:lnRef idx="0">
          <a:scrgbClr r="0" g="0" b="0"/>
        </a:lnRef>
        <a:fillRef idx="3">
          <a:scrgbClr r="0" g="0" b="0"/>
        </a:fillRef>
        <a:effectRef idx="3">
          <a:scrgbClr r="0" g="0" b="0"/>
        </a:effectRef>
        <a:fontRef idx="minor">
          <a:schemeClr val="lt1"/>
        </a:fontRef>
      </dsp:style>
      <dsp:txBody>
        <a:bodyPr spcFirstLastPara="0" vert="horz" wrap="square" lIns="3175" tIns="3175" rIns="3175" bIns="3175" numCol="1" spcCol="1270" anchor="ctr" anchorCtr="0">
          <a:noAutofit/>
        </a:bodyPr>
        <a:lstStyle/>
        <a:p>
          <a:pPr marL="0" lvl="0" indent="0" algn="ctr" defTabSz="222250">
            <a:lnSpc>
              <a:spcPct val="90000"/>
            </a:lnSpc>
            <a:spcBef>
              <a:spcPct val="0"/>
            </a:spcBef>
            <a:spcAft>
              <a:spcPct val="35000"/>
            </a:spcAft>
            <a:buNone/>
          </a:pPr>
          <a:r>
            <a:rPr lang="pt-BR" sz="500" kern="1200"/>
            <a:t>IMPLEMENTAÇÃO DE APP MOBILE </a:t>
          </a:r>
        </a:p>
      </dsp:txBody>
      <dsp:txXfrm>
        <a:off x="14594920" y="2944599"/>
        <a:ext cx="578998" cy="289499"/>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png"/><Relationship Id="rId1" Type="http://schemas.openxmlformats.org/officeDocument/2006/relationships/hyperlink" Target="https://escritoriodeprojetos.com.br/" TargetMode="External"/><Relationship Id="rId4" Type="http://schemas.openxmlformats.org/officeDocument/2006/relationships/image" Target="https://encrypted-tbn0.gstatic.com/images?q=tbn:ANd9GcSJ2ijpeoXGPRtz5cNwDfxA0_BvMmgkBeomZ2z0XgM&amp;s" TargetMode="Externa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0</xdr:row>
      <xdr:rowOff>0</xdr:rowOff>
    </xdr:from>
    <xdr:to>
      <xdr:col>19</xdr:col>
      <xdr:colOff>56923</xdr:colOff>
      <xdr:row>43</xdr:row>
      <xdr:rowOff>86452</xdr:rowOff>
    </xdr:to>
    <xdr:pic>
      <xdr:nvPicPr>
        <xdr:cNvPr id="2" name="Imagem 1">
          <a:extLst>
            <a:ext uri="{FF2B5EF4-FFF2-40B4-BE49-F238E27FC236}">
              <a16:creationId xmlns:a16="http://schemas.microsoft.com/office/drawing/2014/main" id="{3896F657-3127-4D8E-8557-B416CEBD0130}"/>
            </a:ext>
          </a:extLst>
        </xdr:cNvPr>
        <xdr:cNvPicPr>
          <a:picLocks noChangeAspect="1"/>
        </xdr:cNvPicPr>
      </xdr:nvPicPr>
      <xdr:blipFill>
        <a:blip xmlns:r="http://schemas.openxmlformats.org/officeDocument/2006/relationships" r:embed="rId1"/>
        <a:stretch>
          <a:fillRect/>
        </a:stretch>
      </xdr:blipFill>
      <xdr:spPr>
        <a:xfrm>
          <a:off x="6072188" y="0"/>
          <a:ext cx="5521891" cy="7254015"/>
        </a:xfrm>
        <a:prstGeom prst="rect">
          <a:avLst/>
        </a:prstGeom>
      </xdr:spPr>
    </xdr:pic>
    <xdr:clientData/>
  </xdr:twoCellAnchor>
  <xdr:twoCellAnchor editAs="oneCell">
    <xdr:from>
      <xdr:col>10</xdr:col>
      <xdr:colOff>23812</xdr:colOff>
      <xdr:row>43</xdr:row>
      <xdr:rowOff>59531</xdr:rowOff>
    </xdr:from>
    <xdr:to>
      <xdr:col>19</xdr:col>
      <xdr:colOff>67016</xdr:colOff>
      <xdr:row>83</xdr:row>
      <xdr:rowOff>105473</xdr:rowOff>
    </xdr:to>
    <xdr:pic>
      <xdr:nvPicPr>
        <xdr:cNvPr id="3" name="Imagem 2">
          <a:extLst>
            <a:ext uri="{FF2B5EF4-FFF2-40B4-BE49-F238E27FC236}">
              <a16:creationId xmlns:a16="http://schemas.microsoft.com/office/drawing/2014/main" id="{000B38D8-FCC6-464A-9694-FAED5BE6EE6B}"/>
            </a:ext>
          </a:extLst>
        </xdr:cNvPr>
        <xdr:cNvPicPr>
          <a:picLocks noChangeAspect="1"/>
        </xdr:cNvPicPr>
      </xdr:nvPicPr>
      <xdr:blipFill>
        <a:blip xmlns:r="http://schemas.openxmlformats.org/officeDocument/2006/relationships" r:embed="rId2"/>
        <a:stretch>
          <a:fillRect/>
        </a:stretch>
      </xdr:blipFill>
      <xdr:spPr>
        <a:xfrm>
          <a:off x="6096000" y="7227094"/>
          <a:ext cx="5508172" cy="6713442"/>
        </a:xfrm>
        <a:prstGeom prst="rect">
          <a:avLst/>
        </a:prstGeom>
      </xdr:spPr>
    </xdr:pic>
    <xdr:clientData/>
  </xdr:twoCellAnchor>
  <xdr:twoCellAnchor editAs="oneCell">
    <xdr:from>
      <xdr:col>9</xdr:col>
      <xdr:colOff>595313</xdr:colOff>
      <xdr:row>83</xdr:row>
      <xdr:rowOff>142876</xdr:rowOff>
    </xdr:from>
    <xdr:to>
      <xdr:col>19</xdr:col>
      <xdr:colOff>112942</xdr:colOff>
      <xdr:row>124</xdr:row>
      <xdr:rowOff>163584</xdr:rowOff>
    </xdr:to>
    <xdr:pic>
      <xdr:nvPicPr>
        <xdr:cNvPr id="4" name="Imagem 3">
          <a:extLst>
            <a:ext uri="{FF2B5EF4-FFF2-40B4-BE49-F238E27FC236}">
              <a16:creationId xmlns:a16="http://schemas.microsoft.com/office/drawing/2014/main" id="{81BA3B1B-7FFE-42E4-8C6F-A12E34AAECC1}"/>
            </a:ext>
          </a:extLst>
        </xdr:cNvPr>
        <xdr:cNvPicPr>
          <a:picLocks noChangeAspect="1"/>
        </xdr:cNvPicPr>
      </xdr:nvPicPr>
      <xdr:blipFill>
        <a:blip xmlns:r="http://schemas.openxmlformats.org/officeDocument/2006/relationships" r:embed="rId3"/>
        <a:stretch>
          <a:fillRect/>
        </a:stretch>
      </xdr:blipFill>
      <xdr:spPr>
        <a:xfrm>
          <a:off x="6060282" y="13977939"/>
          <a:ext cx="5589816" cy="6854895"/>
        </a:xfrm>
        <a:prstGeom prst="rect">
          <a:avLst/>
        </a:prstGeom>
      </xdr:spPr>
    </xdr:pic>
    <xdr:clientData/>
  </xdr:twoCellAnchor>
  <xdr:twoCellAnchor editAs="oneCell">
    <xdr:from>
      <xdr:col>10</xdr:col>
      <xdr:colOff>35719</xdr:colOff>
      <xdr:row>124</xdr:row>
      <xdr:rowOff>107156</xdr:rowOff>
    </xdr:from>
    <xdr:to>
      <xdr:col>19</xdr:col>
      <xdr:colOff>134127</xdr:colOff>
      <xdr:row>167</xdr:row>
      <xdr:rowOff>65287</xdr:rowOff>
    </xdr:to>
    <xdr:pic>
      <xdr:nvPicPr>
        <xdr:cNvPr id="5" name="Imagem 4">
          <a:extLst>
            <a:ext uri="{FF2B5EF4-FFF2-40B4-BE49-F238E27FC236}">
              <a16:creationId xmlns:a16="http://schemas.microsoft.com/office/drawing/2014/main" id="{7F6BAFB0-EB19-421B-9700-3E0674AFE145}"/>
            </a:ext>
          </a:extLst>
        </xdr:cNvPr>
        <xdr:cNvPicPr>
          <a:picLocks noChangeAspect="1"/>
        </xdr:cNvPicPr>
      </xdr:nvPicPr>
      <xdr:blipFill>
        <a:blip xmlns:r="http://schemas.openxmlformats.org/officeDocument/2006/relationships" r:embed="rId4"/>
        <a:stretch>
          <a:fillRect/>
        </a:stretch>
      </xdr:blipFill>
      <xdr:spPr>
        <a:xfrm>
          <a:off x="6107907" y="20776406"/>
          <a:ext cx="5563376" cy="7125694"/>
        </a:xfrm>
        <a:prstGeom prst="rect">
          <a:avLst/>
        </a:prstGeom>
      </xdr:spPr>
    </xdr:pic>
    <xdr:clientData/>
  </xdr:twoCellAnchor>
  <xdr:twoCellAnchor editAs="oneCell">
    <xdr:from>
      <xdr:col>10</xdr:col>
      <xdr:colOff>47624</xdr:colOff>
      <xdr:row>167</xdr:row>
      <xdr:rowOff>35719</xdr:rowOff>
    </xdr:from>
    <xdr:to>
      <xdr:col>19</xdr:col>
      <xdr:colOff>90200</xdr:colOff>
      <xdr:row>210</xdr:row>
      <xdr:rowOff>71650</xdr:rowOff>
    </xdr:to>
    <xdr:pic>
      <xdr:nvPicPr>
        <xdr:cNvPr id="6" name="Imagem 5">
          <a:extLst>
            <a:ext uri="{FF2B5EF4-FFF2-40B4-BE49-F238E27FC236}">
              <a16:creationId xmlns:a16="http://schemas.microsoft.com/office/drawing/2014/main" id="{DF620CC7-43B0-449C-AA29-1D010329D37F}"/>
            </a:ext>
          </a:extLst>
        </xdr:cNvPr>
        <xdr:cNvPicPr>
          <a:picLocks noChangeAspect="1"/>
        </xdr:cNvPicPr>
      </xdr:nvPicPr>
      <xdr:blipFill>
        <a:blip xmlns:r="http://schemas.openxmlformats.org/officeDocument/2006/relationships" r:embed="rId5"/>
        <a:stretch>
          <a:fillRect/>
        </a:stretch>
      </xdr:blipFill>
      <xdr:spPr>
        <a:xfrm>
          <a:off x="6119812" y="27872532"/>
          <a:ext cx="5507544" cy="72034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428625</xdr:colOff>
      <xdr:row>1</xdr:row>
      <xdr:rowOff>180975</xdr:rowOff>
    </xdr:from>
    <xdr:to>
      <xdr:col>26</xdr:col>
      <xdr:colOff>57149</xdr:colOff>
      <xdr:row>39</xdr:row>
      <xdr:rowOff>133350</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169334</xdr:colOff>
      <xdr:row>3</xdr:row>
      <xdr:rowOff>116417</xdr:rowOff>
    </xdr:from>
    <xdr:to>
      <xdr:col>14</xdr:col>
      <xdr:colOff>338667</xdr:colOff>
      <xdr:row>5</xdr:row>
      <xdr:rowOff>52916</xdr:rowOff>
    </xdr:to>
    <xdr:sp macro="" textlink="">
      <xdr:nvSpPr>
        <xdr:cNvPr id="6" name="Retângulo 5">
          <a:extLst>
            <a:ext uri="{FF2B5EF4-FFF2-40B4-BE49-F238E27FC236}">
              <a16:creationId xmlns:a16="http://schemas.microsoft.com/office/drawing/2014/main" id="{700C3D0E-4AA0-4095-A9D2-1EB9C7689894}"/>
            </a:ext>
          </a:extLst>
        </xdr:cNvPr>
        <xdr:cNvSpPr/>
      </xdr:nvSpPr>
      <xdr:spPr>
        <a:xfrm>
          <a:off x="6879167" y="878417"/>
          <a:ext cx="2010833" cy="433916"/>
        </a:xfrm>
        <a:prstGeom prst="rect">
          <a:avLst/>
        </a:prstGeom>
        <a:solidFill>
          <a:schemeClr val="tx1"/>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400" b="1">
              <a:solidFill>
                <a:schemeClr val="bg1"/>
              </a:solidFill>
            </a:rPr>
            <a:t>CALOGIC</a:t>
          </a:r>
        </a:p>
      </xdr:txBody>
    </xdr:sp>
    <xdr:clientData/>
  </xdr:twoCellAnchor>
  <xdr:twoCellAnchor>
    <xdr:from>
      <xdr:col>2</xdr:col>
      <xdr:colOff>486834</xdr:colOff>
      <xdr:row>3</xdr:row>
      <xdr:rowOff>296333</xdr:rowOff>
    </xdr:from>
    <xdr:to>
      <xdr:col>11</xdr:col>
      <xdr:colOff>95250</xdr:colOff>
      <xdr:row>9</xdr:row>
      <xdr:rowOff>84666</xdr:rowOff>
    </xdr:to>
    <xdr:cxnSp macro="">
      <xdr:nvCxnSpPr>
        <xdr:cNvPr id="9" name="Conector: Angulado 8">
          <a:extLst>
            <a:ext uri="{FF2B5EF4-FFF2-40B4-BE49-F238E27FC236}">
              <a16:creationId xmlns:a16="http://schemas.microsoft.com/office/drawing/2014/main" id="{7881E454-803C-4502-BB10-F33AF7D02F3B}"/>
            </a:ext>
          </a:extLst>
        </xdr:cNvPr>
        <xdr:cNvCxnSpPr/>
      </xdr:nvCxnSpPr>
      <xdr:spPr>
        <a:xfrm rot="10800000" flipV="1">
          <a:off x="1672167" y="1058333"/>
          <a:ext cx="5132916" cy="920750"/>
        </a:xfrm>
        <a:prstGeom prst="bentConnector3">
          <a:avLst>
            <a:gd name="adj1" fmla="val 10010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370417</xdr:colOff>
      <xdr:row>3</xdr:row>
      <xdr:rowOff>306917</xdr:rowOff>
    </xdr:from>
    <xdr:to>
      <xdr:col>23</xdr:col>
      <xdr:colOff>391584</xdr:colOff>
      <xdr:row>9</xdr:row>
      <xdr:rowOff>95250</xdr:rowOff>
    </xdr:to>
    <xdr:cxnSp macro="">
      <xdr:nvCxnSpPr>
        <xdr:cNvPr id="11" name="Conector: Angulado 10">
          <a:extLst>
            <a:ext uri="{FF2B5EF4-FFF2-40B4-BE49-F238E27FC236}">
              <a16:creationId xmlns:a16="http://schemas.microsoft.com/office/drawing/2014/main" id="{44F3DBDA-1682-4441-83EE-5F4E96015333}"/>
            </a:ext>
          </a:extLst>
        </xdr:cNvPr>
        <xdr:cNvCxnSpPr/>
      </xdr:nvCxnSpPr>
      <xdr:spPr>
        <a:xfrm>
          <a:off x="8921750" y="1068917"/>
          <a:ext cx="5545667" cy="920750"/>
        </a:xfrm>
        <a:prstGeom prst="bentConnector3">
          <a:avLst>
            <a:gd name="adj1" fmla="val 10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578827</xdr:colOff>
      <xdr:row>5</xdr:row>
      <xdr:rowOff>63500</xdr:rowOff>
    </xdr:from>
    <xdr:to>
      <xdr:col>12</xdr:col>
      <xdr:colOff>582083</xdr:colOff>
      <xdr:row>9</xdr:row>
      <xdr:rowOff>139212</xdr:rowOff>
    </xdr:to>
    <xdr:cxnSp macro="">
      <xdr:nvCxnSpPr>
        <xdr:cNvPr id="17" name="Conector de Seta Reta 16">
          <a:extLst>
            <a:ext uri="{FF2B5EF4-FFF2-40B4-BE49-F238E27FC236}">
              <a16:creationId xmlns:a16="http://schemas.microsoft.com/office/drawing/2014/main" id="{99B18305-289B-4B3F-AA5C-351C289258EC}"/>
            </a:ext>
          </a:extLst>
        </xdr:cNvPr>
        <xdr:cNvCxnSpPr/>
      </xdr:nvCxnSpPr>
      <xdr:spPr>
        <a:xfrm flipH="1">
          <a:off x="7839808" y="1323731"/>
          <a:ext cx="3256" cy="72048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67</xdr:row>
      <xdr:rowOff>131445</xdr:rowOff>
    </xdr:from>
    <xdr:to>
      <xdr:col>1</xdr:col>
      <xdr:colOff>239611</xdr:colOff>
      <xdr:row>71</xdr:row>
      <xdr:rowOff>28319</xdr:rowOff>
    </xdr:to>
    <xdr:grpSp>
      <xdr:nvGrpSpPr>
        <xdr:cNvPr id="2" name="Agrupar 1">
          <a:extLst>
            <a:ext uri="{FF2B5EF4-FFF2-40B4-BE49-F238E27FC236}">
              <a16:creationId xmlns:a16="http://schemas.microsoft.com/office/drawing/2014/main" id="{9C6326C8-6DD1-47C7-BBF7-B00976EEA6D7}"/>
            </a:ext>
          </a:extLst>
        </xdr:cNvPr>
        <xdr:cNvGrpSpPr/>
      </xdr:nvGrpSpPr>
      <xdr:grpSpPr>
        <a:xfrm>
          <a:off x="238125" y="11447145"/>
          <a:ext cx="611086" cy="544574"/>
          <a:chOff x="3885187" y="1015869"/>
          <a:chExt cx="536811" cy="524356"/>
        </a:xfrm>
      </xdr:grpSpPr>
      <xdr:sp macro="" textlink="">
        <xdr:nvSpPr>
          <xdr:cNvPr id="3" name="Elipse 2">
            <a:extLst>
              <a:ext uri="{FF2B5EF4-FFF2-40B4-BE49-F238E27FC236}">
                <a16:creationId xmlns:a16="http://schemas.microsoft.com/office/drawing/2014/main" id="{DC564FAF-E148-4711-BDC9-8FA5714C2609}"/>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4" name="CaixaDeTexto 3">
            <a:extLst>
              <a:ext uri="{FF2B5EF4-FFF2-40B4-BE49-F238E27FC236}">
                <a16:creationId xmlns:a16="http://schemas.microsoft.com/office/drawing/2014/main" id="{1A2ABB7A-74E7-47D2-995E-30AAADE7FBA2}"/>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0</a:t>
            </a:r>
          </a:p>
        </xdr:txBody>
      </xdr:sp>
    </xdr:grpSp>
    <xdr:clientData/>
  </xdr:twoCellAnchor>
  <xdr:twoCellAnchor>
    <xdr:from>
      <xdr:col>1</xdr:col>
      <xdr:colOff>236220</xdr:colOff>
      <xdr:row>69</xdr:row>
      <xdr:rowOff>114300</xdr:rowOff>
    </xdr:from>
    <xdr:to>
      <xdr:col>3</xdr:col>
      <xdr:colOff>121749</xdr:colOff>
      <xdr:row>69</xdr:row>
      <xdr:rowOff>114300</xdr:rowOff>
    </xdr:to>
    <xdr:cxnSp macro="">
      <xdr:nvCxnSpPr>
        <xdr:cNvPr id="5" name="Conector de Seta Reta 4">
          <a:extLst>
            <a:ext uri="{FF2B5EF4-FFF2-40B4-BE49-F238E27FC236}">
              <a16:creationId xmlns:a16="http://schemas.microsoft.com/office/drawing/2014/main" id="{280758E0-9B5F-43C7-92B3-03F0780ECE18}"/>
            </a:ext>
          </a:extLst>
        </xdr:cNvPr>
        <xdr:cNvCxnSpPr/>
      </xdr:nvCxnSpPr>
      <xdr:spPr>
        <a:xfrm flipV="1">
          <a:off x="845820" y="11287125"/>
          <a:ext cx="110472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133350</xdr:colOff>
      <xdr:row>67</xdr:row>
      <xdr:rowOff>163830</xdr:rowOff>
    </xdr:from>
    <xdr:to>
      <xdr:col>2</xdr:col>
      <xdr:colOff>502920</xdr:colOff>
      <xdr:row>69</xdr:row>
      <xdr:rowOff>45478</xdr:rowOff>
    </xdr:to>
    <xdr:sp macro="" textlink="">
      <xdr:nvSpPr>
        <xdr:cNvPr id="6" name="CaixaDeTexto 5">
          <a:extLst>
            <a:ext uri="{FF2B5EF4-FFF2-40B4-BE49-F238E27FC236}">
              <a16:creationId xmlns:a16="http://schemas.microsoft.com/office/drawing/2014/main" id="{B44AD24B-29C0-427B-9CC8-904B5B4F4D01}"/>
            </a:ext>
          </a:extLst>
        </xdr:cNvPr>
        <xdr:cNvSpPr txBox="1"/>
      </xdr:nvSpPr>
      <xdr:spPr>
        <a:xfrm>
          <a:off x="742950" y="11012805"/>
          <a:ext cx="979170" cy="205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Inicio</a:t>
          </a:r>
        </a:p>
      </xdr:txBody>
    </xdr:sp>
    <xdr:clientData/>
  </xdr:twoCellAnchor>
  <xdr:twoCellAnchor>
    <xdr:from>
      <xdr:col>3</xdr:col>
      <xdr:colOff>676274</xdr:colOff>
      <xdr:row>67</xdr:row>
      <xdr:rowOff>83821</xdr:rowOff>
    </xdr:from>
    <xdr:to>
      <xdr:col>3</xdr:col>
      <xdr:colOff>2242184</xdr:colOff>
      <xdr:row>70</xdr:row>
      <xdr:rowOff>37858</xdr:rowOff>
    </xdr:to>
    <xdr:sp macro="" textlink="">
      <xdr:nvSpPr>
        <xdr:cNvPr id="7" name="CaixaDeTexto 6">
          <a:extLst>
            <a:ext uri="{FF2B5EF4-FFF2-40B4-BE49-F238E27FC236}">
              <a16:creationId xmlns:a16="http://schemas.microsoft.com/office/drawing/2014/main" id="{06D18B2B-A81B-4F0F-8C95-A1EB0E5FDC5A}"/>
            </a:ext>
          </a:extLst>
        </xdr:cNvPr>
        <xdr:cNvSpPr txBox="1"/>
      </xdr:nvSpPr>
      <xdr:spPr>
        <a:xfrm>
          <a:off x="2438399" y="10932796"/>
          <a:ext cx="3810" cy="439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1A. Definição</a:t>
          </a:r>
          <a:r>
            <a:rPr lang="pt-BR" sz="1000" b="1" baseline="0">
              <a:ln>
                <a:noFill/>
              </a:ln>
              <a:solidFill>
                <a:schemeClr val="dk1"/>
              </a:solidFill>
              <a:latin typeface="+mn-lt"/>
              <a:ea typeface="+mn-ea"/>
              <a:cs typeface="+mn-cs"/>
            </a:rPr>
            <a:t> dos objetivos do Projeto = 1</a:t>
          </a:r>
          <a:endParaRPr lang="pt-BR" sz="1000" b="1">
            <a:ln>
              <a:noFill/>
            </a:ln>
            <a:solidFill>
              <a:schemeClr val="dk1"/>
            </a:solidFill>
            <a:latin typeface="+mn-lt"/>
            <a:ea typeface="+mn-ea"/>
            <a:cs typeface="+mn-cs"/>
          </a:endParaRPr>
        </a:p>
      </xdr:txBody>
    </xdr:sp>
    <xdr:clientData/>
  </xdr:twoCellAnchor>
  <xdr:twoCellAnchor>
    <xdr:from>
      <xdr:col>3</xdr:col>
      <xdr:colOff>144780</xdr:colOff>
      <xdr:row>68</xdr:row>
      <xdr:rowOff>19050</xdr:rowOff>
    </xdr:from>
    <xdr:to>
      <xdr:col>3</xdr:col>
      <xdr:colOff>755866</xdr:colOff>
      <xdr:row>71</xdr:row>
      <xdr:rowOff>87374</xdr:rowOff>
    </xdr:to>
    <xdr:grpSp>
      <xdr:nvGrpSpPr>
        <xdr:cNvPr id="8" name="Agrupar 7">
          <a:extLst>
            <a:ext uri="{FF2B5EF4-FFF2-40B4-BE49-F238E27FC236}">
              <a16:creationId xmlns:a16="http://schemas.microsoft.com/office/drawing/2014/main" id="{D2D31A2A-FE8F-4B33-B1E3-3F45A611BFB7}"/>
            </a:ext>
          </a:extLst>
        </xdr:cNvPr>
        <xdr:cNvGrpSpPr/>
      </xdr:nvGrpSpPr>
      <xdr:grpSpPr>
        <a:xfrm>
          <a:off x="1973580" y="11496675"/>
          <a:ext cx="611086" cy="554099"/>
          <a:chOff x="3885187" y="1015869"/>
          <a:chExt cx="536811" cy="524356"/>
        </a:xfrm>
      </xdr:grpSpPr>
      <xdr:sp macro="" textlink="">
        <xdr:nvSpPr>
          <xdr:cNvPr id="9" name="Elipse 8">
            <a:extLst>
              <a:ext uri="{FF2B5EF4-FFF2-40B4-BE49-F238E27FC236}">
                <a16:creationId xmlns:a16="http://schemas.microsoft.com/office/drawing/2014/main" id="{E48724D0-3C2C-48EF-A070-AB3B4C26D722}"/>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0" name="CaixaDeTexto 9">
            <a:extLst>
              <a:ext uri="{FF2B5EF4-FFF2-40B4-BE49-F238E27FC236}">
                <a16:creationId xmlns:a16="http://schemas.microsoft.com/office/drawing/2014/main" id="{9EA8852B-5171-4EE5-852A-43440F0D6B65}"/>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a:t>
            </a:r>
          </a:p>
        </xdr:txBody>
      </xdr:sp>
    </xdr:grpSp>
    <xdr:clientData/>
  </xdr:twoCellAnchor>
  <xdr:twoCellAnchor>
    <xdr:from>
      <xdr:col>3</xdr:col>
      <xdr:colOff>779145</xdr:colOff>
      <xdr:row>69</xdr:row>
      <xdr:rowOff>148590</xdr:rowOff>
    </xdr:from>
    <xdr:to>
      <xdr:col>3</xdr:col>
      <xdr:colOff>2305050</xdr:colOff>
      <xdr:row>69</xdr:row>
      <xdr:rowOff>161925</xdr:rowOff>
    </xdr:to>
    <xdr:cxnSp macro="">
      <xdr:nvCxnSpPr>
        <xdr:cNvPr id="11" name="Conector de Seta Reta 10">
          <a:extLst>
            <a:ext uri="{FF2B5EF4-FFF2-40B4-BE49-F238E27FC236}">
              <a16:creationId xmlns:a16="http://schemas.microsoft.com/office/drawing/2014/main" id="{D943CD85-B1EF-482B-8019-9DA262862F1B}"/>
            </a:ext>
          </a:extLst>
        </xdr:cNvPr>
        <xdr:cNvCxnSpPr/>
      </xdr:nvCxnSpPr>
      <xdr:spPr>
        <a:xfrm>
          <a:off x="2436495" y="11321415"/>
          <a:ext cx="1905" cy="1333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2360288</xdr:colOff>
      <xdr:row>68</xdr:row>
      <xdr:rowOff>38099</xdr:rowOff>
    </xdr:from>
    <xdr:to>
      <xdr:col>3</xdr:col>
      <xdr:colOff>2970380</xdr:colOff>
      <xdr:row>71</xdr:row>
      <xdr:rowOff>102624</xdr:rowOff>
    </xdr:to>
    <xdr:grpSp>
      <xdr:nvGrpSpPr>
        <xdr:cNvPr id="12" name="Agrupar 11">
          <a:extLst>
            <a:ext uri="{FF2B5EF4-FFF2-40B4-BE49-F238E27FC236}">
              <a16:creationId xmlns:a16="http://schemas.microsoft.com/office/drawing/2014/main" id="{92E8F9E1-2C34-41EA-AB6F-B715A6DCFA0B}"/>
            </a:ext>
          </a:extLst>
        </xdr:cNvPr>
        <xdr:cNvGrpSpPr/>
      </xdr:nvGrpSpPr>
      <xdr:grpSpPr>
        <a:xfrm>
          <a:off x="4189088" y="11515724"/>
          <a:ext cx="610092" cy="550300"/>
          <a:chOff x="3885187" y="1015869"/>
          <a:chExt cx="536811" cy="524356"/>
        </a:xfrm>
      </xdr:grpSpPr>
      <xdr:sp macro="" textlink="">
        <xdr:nvSpPr>
          <xdr:cNvPr id="13" name="Elipse 12">
            <a:extLst>
              <a:ext uri="{FF2B5EF4-FFF2-40B4-BE49-F238E27FC236}">
                <a16:creationId xmlns:a16="http://schemas.microsoft.com/office/drawing/2014/main" id="{1EC9D1BA-E564-4053-9585-1765DE3DFB23}"/>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4" name="CaixaDeTexto 13">
            <a:extLst>
              <a:ext uri="{FF2B5EF4-FFF2-40B4-BE49-F238E27FC236}">
                <a16:creationId xmlns:a16="http://schemas.microsoft.com/office/drawing/2014/main" id="{249E6618-9346-45C1-BE76-5C4AABCA76C9}"/>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2</a:t>
            </a:r>
          </a:p>
        </xdr:txBody>
      </xdr:sp>
    </xdr:grpSp>
    <xdr:clientData/>
  </xdr:twoCellAnchor>
  <xdr:twoCellAnchor>
    <xdr:from>
      <xdr:col>3</xdr:col>
      <xdr:colOff>3034885</xdr:colOff>
      <xdr:row>67</xdr:row>
      <xdr:rowOff>10169</xdr:rowOff>
    </xdr:from>
    <xdr:to>
      <xdr:col>3</xdr:col>
      <xdr:colOff>4428108</xdr:colOff>
      <xdr:row>68</xdr:row>
      <xdr:rowOff>136283</xdr:rowOff>
    </xdr:to>
    <xdr:cxnSp macro="">
      <xdr:nvCxnSpPr>
        <xdr:cNvPr id="15" name="Conector de Seta Reta 14">
          <a:extLst>
            <a:ext uri="{FF2B5EF4-FFF2-40B4-BE49-F238E27FC236}">
              <a16:creationId xmlns:a16="http://schemas.microsoft.com/office/drawing/2014/main" id="{02C87405-D9B0-435A-BBCA-D2ED37859D36}"/>
            </a:ext>
          </a:extLst>
        </xdr:cNvPr>
        <xdr:cNvCxnSpPr>
          <a:endCxn id="22" idx="2"/>
        </xdr:cNvCxnSpPr>
      </xdr:nvCxnSpPr>
      <xdr:spPr>
        <a:xfrm flipV="1">
          <a:off x="2434810" y="10859144"/>
          <a:ext cx="2573" cy="2880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2966411</xdr:colOff>
      <xdr:row>70</xdr:row>
      <xdr:rowOff>146120</xdr:rowOff>
    </xdr:from>
    <xdr:to>
      <xdr:col>3</xdr:col>
      <xdr:colOff>4288792</xdr:colOff>
      <xdr:row>73</xdr:row>
      <xdr:rowOff>76547</xdr:rowOff>
    </xdr:to>
    <xdr:cxnSp macro="">
      <xdr:nvCxnSpPr>
        <xdr:cNvPr id="16" name="Conector de Seta Reta 15">
          <a:extLst>
            <a:ext uri="{FF2B5EF4-FFF2-40B4-BE49-F238E27FC236}">
              <a16:creationId xmlns:a16="http://schemas.microsoft.com/office/drawing/2014/main" id="{D8EBBE0E-69BF-4E94-91AA-2BFF219D7997}"/>
            </a:ext>
          </a:extLst>
        </xdr:cNvPr>
        <xdr:cNvCxnSpPr/>
      </xdr:nvCxnSpPr>
      <xdr:spPr>
        <a:xfrm>
          <a:off x="2442536" y="11480870"/>
          <a:ext cx="0" cy="4162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2632489</xdr:colOff>
      <xdr:row>61</xdr:row>
      <xdr:rowOff>78828</xdr:rowOff>
    </xdr:from>
    <xdr:to>
      <xdr:col>3</xdr:col>
      <xdr:colOff>4184431</xdr:colOff>
      <xdr:row>68</xdr:row>
      <xdr:rowOff>24961</xdr:rowOff>
    </xdr:to>
    <xdr:cxnSp macro="">
      <xdr:nvCxnSpPr>
        <xdr:cNvPr id="17" name="Conector de Seta Reta 16">
          <a:extLst>
            <a:ext uri="{FF2B5EF4-FFF2-40B4-BE49-F238E27FC236}">
              <a16:creationId xmlns:a16="http://schemas.microsoft.com/office/drawing/2014/main" id="{92717EBB-45CD-4F35-98E9-99538E6B225E}"/>
            </a:ext>
          </a:extLst>
        </xdr:cNvPr>
        <xdr:cNvCxnSpPr/>
      </xdr:nvCxnSpPr>
      <xdr:spPr>
        <a:xfrm flipV="1">
          <a:off x="2441989" y="9956253"/>
          <a:ext cx="0" cy="10796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4195689</xdr:colOff>
      <xdr:row>58</xdr:row>
      <xdr:rowOff>114061</xdr:rowOff>
    </xdr:from>
    <xdr:to>
      <xdr:col>4</xdr:col>
      <xdr:colOff>152316</xdr:colOff>
      <xdr:row>62</xdr:row>
      <xdr:rowOff>12339</xdr:rowOff>
    </xdr:to>
    <xdr:grpSp>
      <xdr:nvGrpSpPr>
        <xdr:cNvPr id="18" name="Agrupar 17">
          <a:extLst>
            <a:ext uri="{FF2B5EF4-FFF2-40B4-BE49-F238E27FC236}">
              <a16:creationId xmlns:a16="http://schemas.microsoft.com/office/drawing/2014/main" id="{2B98891E-CBF7-4BCC-99FE-44931E27E8FA}"/>
            </a:ext>
          </a:extLst>
        </xdr:cNvPr>
        <xdr:cNvGrpSpPr/>
      </xdr:nvGrpSpPr>
      <xdr:grpSpPr>
        <a:xfrm>
          <a:off x="6024489" y="9972436"/>
          <a:ext cx="604827" cy="545978"/>
          <a:chOff x="3885187" y="1015869"/>
          <a:chExt cx="536811" cy="524356"/>
        </a:xfrm>
      </xdr:grpSpPr>
      <xdr:sp macro="" textlink="">
        <xdr:nvSpPr>
          <xdr:cNvPr id="19" name="Elipse 18">
            <a:extLst>
              <a:ext uri="{FF2B5EF4-FFF2-40B4-BE49-F238E27FC236}">
                <a16:creationId xmlns:a16="http://schemas.microsoft.com/office/drawing/2014/main" id="{A3769EBD-4D71-4974-943B-B9EB36D8F8EF}"/>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0" name="CaixaDeTexto 19">
            <a:extLst>
              <a:ext uri="{FF2B5EF4-FFF2-40B4-BE49-F238E27FC236}">
                <a16:creationId xmlns:a16="http://schemas.microsoft.com/office/drawing/2014/main" id="{2C4A67D0-747D-4156-BE70-3A0C7F7909E9}"/>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3</a:t>
            </a:r>
          </a:p>
        </xdr:txBody>
      </xdr:sp>
    </xdr:grpSp>
    <xdr:clientData/>
  </xdr:twoCellAnchor>
  <xdr:twoCellAnchor>
    <xdr:from>
      <xdr:col>3</xdr:col>
      <xdr:colOff>4428108</xdr:colOff>
      <xdr:row>65</xdr:row>
      <xdr:rowOff>65794</xdr:rowOff>
    </xdr:from>
    <xdr:to>
      <xdr:col>4</xdr:col>
      <xdr:colOff>387041</xdr:colOff>
      <xdr:row>68</xdr:row>
      <xdr:rowOff>115736</xdr:rowOff>
    </xdr:to>
    <xdr:grpSp>
      <xdr:nvGrpSpPr>
        <xdr:cNvPr id="21" name="Agrupar 20">
          <a:extLst>
            <a:ext uri="{FF2B5EF4-FFF2-40B4-BE49-F238E27FC236}">
              <a16:creationId xmlns:a16="http://schemas.microsoft.com/office/drawing/2014/main" id="{09B797B0-EA64-4A61-9950-E1D78EED1CBE}"/>
            </a:ext>
          </a:extLst>
        </xdr:cNvPr>
        <xdr:cNvGrpSpPr/>
      </xdr:nvGrpSpPr>
      <xdr:grpSpPr>
        <a:xfrm>
          <a:off x="6256908" y="11057644"/>
          <a:ext cx="607133" cy="535717"/>
          <a:chOff x="3889687" y="1012741"/>
          <a:chExt cx="525295" cy="532879"/>
        </a:xfrm>
      </xdr:grpSpPr>
      <xdr:sp macro="" textlink="">
        <xdr:nvSpPr>
          <xdr:cNvPr id="22" name="Elipse 21">
            <a:extLst>
              <a:ext uri="{FF2B5EF4-FFF2-40B4-BE49-F238E27FC236}">
                <a16:creationId xmlns:a16="http://schemas.microsoft.com/office/drawing/2014/main" id="{97007ADE-A22B-423D-B9D1-126BA3AE2072}"/>
              </a:ext>
            </a:extLst>
          </xdr:cNvPr>
          <xdr:cNvSpPr/>
        </xdr:nvSpPr>
        <xdr:spPr>
          <a:xfrm>
            <a:off x="3889687" y="1012741"/>
            <a:ext cx="525295" cy="532879"/>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3" name="CaixaDeTexto 22">
            <a:extLst>
              <a:ext uri="{FF2B5EF4-FFF2-40B4-BE49-F238E27FC236}">
                <a16:creationId xmlns:a16="http://schemas.microsoft.com/office/drawing/2014/main" id="{2AFC51FB-AF1E-4B49-8AF8-0F23C72699C6}"/>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4</a:t>
            </a:r>
          </a:p>
        </xdr:txBody>
      </xdr:sp>
    </xdr:grpSp>
    <xdr:clientData/>
  </xdr:twoCellAnchor>
  <xdr:twoCellAnchor>
    <xdr:from>
      <xdr:col>3</xdr:col>
      <xdr:colOff>4325426</xdr:colOff>
      <xdr:row>71</xdr:row>
      <xdr:rowOff>112922</xdr:rowOff>
    </xdr:from>
    <xdr:to>
      <xdr:col>4</xdr:col>
      <xdr:colOff>299899</xdr:colOff>
      <xdr:row>75</xdr:row>
      <xdr:rowOff>84135</xdr:rowOff>
    </xdr:to>
    <xdr:grpSp>
      <xdr:nvGrpSpPr>
        <xdr:cNvPr id="24" name="Agrupar 23">
          <a:extLst>
            <a:ext uri="{FF2B5EF4-FFF2-40B4-BE49-F238E27FC236}">
              <a16:creationId xmlns:a16="http://schemas.microsoft.com/office/drawing/2014/main" id="{55FA21DA-D84E-40A5-BC3F-51C58EB8A23A}"/>
            </a:ext>
          </a:extLst>
        </xdr:cNvPr>
        <xdr:cNvGrpSpPr/>
      </xdr:nvGrpSpPr>
      <xdr:grpSpPr>
        <a:xfrm>
          <a:off x="6154226" y="12076322"/>
          <a:ext cx="622673" cy="618913"/>
          <a:chOff x="3885187" y="1015869"/>
          <a:chExt cx="536811" cy="524356"/>
        </a:xfrm>
      </xdr:grpSpPr>
      <xdr:sp macro="" textlink="">
        <xdr:nvSpPr>
          <xdr:cNvPr id="25" name="Elipse 24">
            <a:extLst>
              <a:ext uri="{FF2B5EF4-FFF2-40B4-BE49-F238E27FC236}">
                <a16:creationId xmlns:a16="http://schemas.microsoft.com/office/drawing/2014/main" id="{363BE322-1A99-4885-AA17-5DF0CC3AA4D6}"/>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6" name="CaixaDeTexto 25">
            <a:extLst>
              <a:ext uri="{FF2B5EF4-FFF2-40B4-BE49-F238E27FC236}">
                <a16:creationId xmlns:a16="http://schemas.microsoft.com/office/drawing/2014/main" id="{81E10A96-4394-4F89-A5EA-41236D7DD59D}"/>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5</a:t>
            </a:r>
          </a:p>
        </xdr:txBody>
      </xdr:sp>
    </xdr:grpSp>
    <xdr:clientData/>
  </xdr:twoCellAnchor>
  <xdr:twoCellAnchor>
    <xdr:from>
      <xdr:col>3</xdr:col>
      <xdr:colOff>2591067</xdr:colOff>
      <xdr:row>62</xdr:row>
      <xdr:rowOff>69229</xdr:rowOff>
    </xdr:from>
    <xdr:to>
      <xdr:col>3</xdr:col>
      <xdr:colOff>4103155</xdr:colOff>
      <xdr:row>65</xdr:row>
      <xdr:rowOff>50732</xdr:rowOff>
    </xdr:to>
    <xdr:sp macro="" textlink="">
      <xdr:nvSpPr>
        <xdr:cNvPr id="27" name="CaixaDeTexto 26">
          <a:extLst>
            <a:ext uri="{FF2B5EF4-FFF2-40B4-BE49-F238E27FC236}">
              <a16:creationId xmlns:a16="http://schemas.microsoft.com/office/drawing/2014/main" id="{E8D5932F-122A-4B9C-85A2-E6D0825DCEF9}"/>
            </a:ext>
          </a:extLst>
        </xdr:cNvPr>
        <xdr:cNvSpPr txBox="1"/>
      </xdr:nvSpPr>
      <xdr:spPr>
        <a:xfrm rot="19573008">
          <a:off x="2438667" y="10108579"/>
          <a:ext cx="0" cy="46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1B. Formação da equipe</a:t>
          </a:r>
          <a:r>
            <a:rPr lang="pt-BR" sz="1000" b="1" baseline="0">
              <a:ln>
                <a:noFill/>
              </a:ln>
              <a:solidFill>
                <a:schemeClr val="dk1"/>
              </a:solidFill>
              <a:latin typeface="+mn-lt"/>
              <a:ea typeface="+mn-ea"/>
              <a:cs typeface="+mn-cs"/>
            </a:rPr>
            <a:t> do projeto = 1</a:t>
          </a:r>
          <a:endParaRPr lang="pt-BR" sz="1000" b="1">
            <a:ln>
              <a:noFill/>
            </a:ln>
            <a:solidFill>
              <a:schemeClr val="dk1"/>
            </a:solidFill>
            <a:latin typeface="+mn-lt"/>
            <a:ea typeface="+mn-ea"/>
            <a:cs typeface="+mn-cs"/>
          </a:endParaRPr>
        </a:p>
      </xdr:txBody>
    </xdr:sp>
    <xdr:clientData/>
  </xdr:twoCellAnchor>
  <xdr:twoCellAnchor>
    <xdr:from>
      <xdr:col>3</xdr:col>
      <xdr:colOff>2890213</xdr:colOff>
      <xdr:row>65</xdr:row>
      <xdr:rowOff>127023</xdr:rowOff>
    </xdr:from>
    <xdr:to>
      <xdr:col>3</xdr:col>
      <xdr:colOff>4187153</xdr:colOff>
      <xdr:row>68</xdr:row>
      <xdr:rowOff>109635</xdr:rowOff>
    </xdr:to>
    <xdr:sp macro="" textlink="">
      <xdr:nvSpPr>
        <xdr:cNvPr id="28" name="CaixaDeTexto 27">
          <a:extLst>
            <a:ext uri="{FF2B5EF4-FFF2-40B4-BE49-F238E27FC236}">
              <a16:creationId xmlns:a16="http://schemas.microsoft.com/office/drawing/2014/main" id="{4909BC8C-49DB-4EA3-B49C-408E056E426A}"/>
            </a:ext>
          </a:extLst>
        </xdr:cNvPr>
        <xdr:cNvSpPr txBox="1"/>
      </xdr:nvSpPr>
      <xdr:spPr>
        <a:xfrm rot="21035401">
          <a:off x="2442538" y="10652148"/>
          <a:ext cx="0" cy="468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1C. Indetificação</a:t>
          </a:r>
          <a:r>
            <a:rPr lang="pt-BR" sz="1000" b="1" baseline="0">
              <a:ln>
                <a:noFill/>
              </a:ln>
              <a:solidFill>
                <a:schemeClr val="dk1"/>
              </a:solidFill>
              <a:latin typeface="+mn-lt"/>
              <a:ea typeface="+mn-ea"/>
              <a:cs typeface="+mn-cs"/>
            </a:rPr>
            <a:t> dos stakeholders = 1</a:t>
          </a:r>
          <a:endParaRPr lang="pt-BR" sz="1000" b="1">
            <a:ln>
              <a:noFill/>
            </a:ln>
            <a:solidFill>
              <a:schemeClr val="dk1"/>
            </a:solidFill>
            <a:latin typeface="+mn-lt"/>
            <a:ea typeface="+mn-ea"/>
            <a:cs typeface="+mn-cs"/>
          </a:endParaRPr>
        </a:p>
      </xdr:txBody>
    </xdr:sp>
    <xdr:clientData/>
  </xdr:twoCellAnchor>
  <xdr:twoCellAnchor>
    <xdr:from>
      <xdr:col>3</xdr:col>
      <xdr:colOff>3120693</xdr:colOff>
      <xdr:row>69</xdr:row>
      <xdr:rowOff>149378</xdr:rowOff>
    </xdr:from>
    <xdr:to>
      <xdr:col>3</xdr:col>
      <xdr:colOff>4352046</xdr:colOff>
      <xdr:row>72</xdr:row>
      <xdr:rowOff>89669</xdr:rowOff>
    </xdr:to>
    <xdr:sp macro="" textlink="">
      <xdr:nvSpPr>
        <xdr:cNvPr id="29" name="CaixaDeTexto 28">
          <a:extLst>
            <a:ext uri="{FF2B5EF4-FFF2-40B4-BE49-F238E27FC236}">
              <a16:creationId xmlns:a16="http://schemas.microsoft.com/office/drawing/2014/main" id="{1D65ED9B-89C4-49DE-B311-38D79080085D}"/>
            </a:ext>
          </a:extLst>
        </xdr:cNvPr>
        <xdr:cNvSpPr txBox="1"/>
      </xdr:nvSpPr>
      <xdr:spPr>
        <a:xfrm rot="969569">
          <a:off x="2434893" y="11322203"/>
          <a:ext cx="2628" cy="426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1E. Reunião de Kick</a:t>
          </a:r>
          <a:r>
            <a:rPr lang="pt-BR" sz="1000" b="1" baseline="0">
              <a:ln>
                <a:noFill/>
              </a:ln>
              <a:solidFill>
                <a:schemeClr val="dk1"/>
              </a:solidFill>
              <a:latin typeface="+mn-lt"/>
              <a:ea typeface="+mn-ea"/>
              <a:cs typeface="+mn-cs"/>
            </a:rPr>
            <a:t> Off = 1</a:t>
          </a:r>
          <a:endParaRPr lang="pt-BR" sz="1000" b="1">
            <a:ln>
              <a:noFill/>
            </a:ln>
            <a:solidFill>
              <a:schemeClr val="dk1"/>
            </a:solidFill>
            <a:latin typeface="+mn-lt"/>
            <a:ea typeface="+mn-ea"/>
            <a:cs typeface="+mn-cs"/>
          </a:endParaRPr>
        </a:p>
      </xdr:txBody>
    </xdr:sp>
    <xdr:clientData/>
  </xdr:twoCellAnchor>
  <xdr:twoCellAnchor>
    <xdr:from>
      <xdr:col>3</xdr:col>
      <xdr:colOff>2571750</xdr:colOff>
      <xdr:row>72</xdr:row>
      <xdr:rowOff>36635</xdr:rowOff>
    </xdr:from>
    <xdr:to>
      <xdr:col>3</xdr:col>
      <xdr:colOff>3949211</xdr:colOff>
      <xdr:row>78</xdr:row>
      <xdr:rowOff>139212</xdr:rowOff>
    </xdr:to>
    <xdr:cxnSp macro="">
      <xdr:nvCxnSpPr>
        <xdr:cNvPr id="30" name="Conector de Seta Reta 29">
          <a:extLst>
            <a:ext uri="{FF2B5EF4-FFF2-40B4-BE49-F238E27FC236}">
              <a16:creationId xmlns:a16="http://schemas.microsoft.com/office/drawing/2014/main" id="{461395DB-150F-4B55-8C30-00A07D115997}"/>
            </a:ext>
          </a:extLst>
        </xdr:cNvPr>
        <xdr:cNvCxnSpPr/>
      </xdr:nvCxnSpPr>
      <xdr:spPr>
        <a:xfrm>
          <a:off x="2438400" y="11695235"/>
          <a:ext cx="0" cy="107412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2660581</xdr:colOff>
      <xdr:row>73</xdr:row>
      <xdr:rowOff>132800</xdr:rowOff>
    </xdr:from>
    <xdr:to>
      <xdr:col>3</xdr:col>
      <xdr:colOff>4216966</xdr:colOff>
      <xdr:row>76</xdr:row>
      <xdr:rowOff>75641</xdr:rowOff>
    </xdr:to>
    <xdr:sp macro="" textlink="">
      <xdr:nvSpPr>
        <xdr:cNvPr id="31" name="CaixaDeTexto 30">
          <a:extLst>
            <a:ext uri="{FF2B5EF4-FFF2-40B4-BE49-F238E27FC236}">
              <a16:creationId xmlns:a16="http://schemas.microsoft.com/office/drawing/2014/main" id="{8917CE9C-DCD3-4ADD-AF1E-5F6ACC0C43A1}"/>
            </a:ext>
          </a:extLst>
        </xdr:cNvPr>
        <xdr:cNvSpPr txBox="1"/>
      </xdr:nvSpPr>
      <xdr:spPr>
        <a:xfrm rot="2350817">
          <a:off x="2441506" y="11953325"/>
          <a:ext cx="0" cy="428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2A.</a:t>
          </a:r>
          <a:r>
            <a:rPr lang="pt-BR" sz="1000" b="1" baseline="0">
              <a:ln>
                <a:noFill/>
              </a:ln>
              <a:solidFill>
                <a:schemeClr val="dk1"/>
              </a:solidFill>
              <a:latin typeface="+mn-lt"/>
              <a:ea typeface="+mn-ea"/>
              <a:cs typeface="+mn-cs"/>
            </a:rPr>
            <a:t> </a:t>
          </a:r>
          <a:r>
            <a:rPr lang="pt-BR" sz="1000" b="1">
              <a:ln>
                <a:noFill/>
              </a:ln>
              <a:solidFill>
                <a:schemeClr val="dk1"/>
              </a:solidFill>
              <a:latin typeface="+mn-lt"/>
              <a:ea typeface="+mn-ea"/>
              <a:cs typeface="+mn-cs"/>
            </a:rPr>
            <a:t>Levantamento</a:t>
          </a:r>
          <a:r>
            <a:rPr lang="pt-BR" sz="1000" b="1" baseline="0">
              <a:ln>
                <a:noFill/>
              </a:ln>
              <a:solidFill>
                <a:schemeClr val="dk1"/>
              </a:solidFill>
              <a:latin typeface="+mn-lt"/>
              <a:ea typeface="+mn-ea"/>
              <a:cs typeface="+mn-cs"/>
            </a:rPr>
            <a:t> de Requisitos = 2</a:t>
          </a:r>
          <a:endParaRPr lang="pt-BR" sz="1000" b="1">
            <a:ln>
              <a:noFill/>
            </a:ln>
            <a:solidFill>
              <a:schemeClr val="dk1"/>
            </a:solidFill>
            <a:latin typeface="+mn-lt"/>
            <a:ea typeface="+mn-ea"/>
            <a:cs typeface="+mn-cs"/>
          </a:endParaRPr>
        </a:p>
      </xdr:txBody>
    </xdr:sp>
    <xdr:clientData/>
  </xdr:twoCellAnchor>
  <xdr:twoCellAnchor>
    <xdr:from>
      <xdr:col>3</xdr:col>
      <xdr:colOff>4084020</xdr:colOff>
      <xdr:row>77</xdr:row>
      <xdr:rowOff>22052</xdr:rowOff>
    </xdr:from>
    <xdr:to>
      <xdr:col>4</xdr:col>
      <xdr:colOff>3270</xdr:colOff>
      <xdr:row>80</xdr:row>
      <xdr:rowOff>71338</xdr:rowOff>
    </xdr:to>
    <xdr:grpSp>
      <xdr:nvGrpSpPr>
        <xdr:cNvPr id="32" name="Agrupar 31">
          <a:extLst>
            <a:ext uri="{FF2B5EF4-FFF2-40B4-BE49-F238E27FC236}">
              <a16:creationId xmlns:a16="http://schemas.microsoft.com/office/drawing/2014/main" id="{45465893-5AAA-4290-BC09-9E7961F9EBAE}"/>
            </a:ext>
          </a:extLst>
        </xdr:cNvPr>
        <xdr:cNvGrpSpPr/>
      </xdr:nvGrpSpPr>
      <xdr:grpSpPr>
        <a:xfrm>
          <a:off x="5912820" y="12957002"/>
          <a:ext cx="567450" cy="535061"/>
          <a:chOff x="3885187" y="1015869"/>
          <a:chExt cx="536811" cy="524356"/>
        </a:xfrm>
      </xdr:grpSpPr>
      <xdr:sp macro="" textlink="">
        <xdr:nvSpPr>
          <xdr:cNvPr id="33" name="Elipse 32">
            <a:extLst>
              <a:ext uri="{FF2B5EF4-FFF2-40B4-BE49-F238E27FC236}">
                <a16:creationId xmlns:a16="http://schemas.microsoft.com/office/drawing/2014/main" id="{1BB8616E-2813-467B-B4B4-EB55DDF215EB}"/>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34" name="CaixaDeTexto 33">
            <a:extLst>
              <a:ext uri="{FF2B5EF4-FFF2-40B4-BE49-F238E27FC236}">
                <a16:creationId xmlns:a16="http://schemas.microsoft.com/office/drawing/2014/main" id="{3BFA4D4C-7F3F-4852-BED3-D97E39DDEACD}"/>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6</a:t>
            </a:r>
          </a:p>
        </xdr:txBody>
      </xdr:sp>
    </xdr:grpSp>
    <xdr:clientData/>
  </xdr:twoCellAnchor>
  <xdr:twoCellAnchor>
    <xdr:from>
      <xdr:col>3</xdr:col>
      <xdr:colOff>4605920</xdr:colOff>
      <xdr:row>70</xdr:row>
      <xdr:rowOff>72764</xdr:rowOff>
    </xdr:from>
    <xdr:to>
      <xdr:col>7</xdr:col>
      <xdr:colOff>511073</xdr:colOff>
      <xdr:row>76</xdr:row>
      <xdr:rowOff>158607</xdr:rowOff>
    </xdr:to>
    <xdr:cxnSp macro="">
      <xdr:nvCxnSpPr>
        <xdr:cNvPr id="35" name="Conector de Seta Reta 34">
          <a:extLst>
            <a:ext uri="{FF2B5EF4-FFF2-40B4-BE49-F238E27FC236}">
              <a16:creationId xmlns:a16="http://schemas.microsoft.com/office/drawing/2014/main" id="{D479C605-3822-4CFF-A1A2-59985EA63B79}"/>
            </a:ext>
          </a:extLst>
        </xdr:cNvPr>
        <xdr:cNvCxnSpPr/>
      </xdr:nvCxnSpPr>
      <xdr:spPr>
        <a:xfrm flipV="1">
          <a:off x="2434220" y="11407514"/>
          <a:ext cx="2344053" cy="10573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59894</xdr:colOff>
      <xdr:row>68</xdr:row>
      <xdr:rowOff>66784</xdr:rowOff>
    </xdr:from>
    <xdr:to>
      <xdr:col>9</xdr:col>
      <xdr:colOff>54124</xdr:colOff>
      <xdr:row>71</xdr:row>
      <xdr:rowOff>131307</xdr:rowOff>
    </xdr:to>
    <xdr:grpSp>
      <xdr:nvGrpSpPr>
        <xdr:cNvPr id="36" name="Agrupar 35">
          <a:extLst>
            <a:ext uri="{FF2B5EF4-FFF2-40B4-BE49-F238E27FC236}">
              <a16:creationId xmlns:a16="http://schemas.microsoft.com/office/drawing/2014/main" id="{AF2DE2AA-8AFD-4F34-820D-808D6591B455}"/>
            </a:ext>
          </a:extLst>
        </xdr:cNvPr>
        <xdr:cNvGrpSpPr/>
      </xdr:nvGrpSpPr>
      <xdr:grpSpPr>
        <a:xfrm>
          <a:off x="8918144" y="11544409"/>
          <a:ext cx="603830" cy="550298"/>
          <a:chOff x="3884451" y="1016212"/>
          <a:chExt cx="541965" cy="519414"/>
        </a:xfrm>
      </xdr:grpSpPr>
      <xdr:sp macro="" textlink="">
        <xdr:nvSpPr>
          <xdr:cNvPr id="37" name="Elipse 36">
            <a:extLst>
              <a:ext uri="{FF2B5EF4-FFF2-40B4-BE49-F238E27FC236}">
                <a16:creationId xmlns:a16="http://schemas.microsoft.com/office/drawing/2014/main" id="{196B422B-CE03-4CE2-B789-FEFAF0A282D4}"/>
              </a:ext>
            </a:extLst>
          </xdr:cNvPr>
          <xdr:cNvSpPr/>
        </xdr:nvSpPr>
        <xdr:spPr>
          <a:xfrm>
            <a:off x="3884451" y="1016212"/>
            <a:ext cx="541965" cy="51941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38" name="CaixaDeTexto 37">
            <a:extLst>
              <a:ext uri="{FF2B5EF4-FFF2-40B4-BE49-F238E27FC236}">
                <a16:creationId xmlns:a16="http://schemas.microsoft.com/office/drawing/2014/main" id="{EFC40E9C-DD74-4A5B-AAEF-C1E11616CF0C}"/>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7</a:t>
            </a:r>
          </a:p>
        </xdr:txBody>
      </xdr:sp>
    </xdr:grpSp>
    <xdr:clientData/>
  </xdr:twoCellAnchor>
  <xdr:twoCellAnchor>
    <xdr:from>
      <xdr:col>4</xdr:col>
      <xdr:colOff>524116</xdr:colOff>
      <xdr:row>70</xdr:row>
      <xdr:rowOff>79349</xdr:rowOff>
    </xdr:from>
    <xdr:to>
      <xdr:col>7</xdr:col>
      <xdr:colOff>399567</xdr:colOff>
      <xdr:row>73</xdr:row>
      <xdr:rowOff>14510</xdr:rowOff>
    </xdr:to>
    <xdr:sp macro="" textlink="">
      <xdr:nvSpPr>
        <xdr:cNvPr id="39" name="CaixaDeTexto 38">
          <a:extLst>
            <a:ext uri="{FF2B5EF4-FFF2-40B4-BE49-F238E27FC236}">
              <a16:creationId xmlns:a16="http://schemas.microsoft.com/office/drawing/2014/main" id="{3C106F44-3F83-45A1-A2CE-4B794D596E31}"/>
            </a:ext>
          </a:extLst>
        </xdr:cNvPr>
        <xdr:cNvSpPr txBox="1"/>
      </xdr:nvSpPr>
      <xdr:spPr>
        <a:xfrm rot="20100420">
          <a:off x="2962516" y="11414099"/>
          <a:ext cx="1704251" cy="42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2B. Entrevistas</a:t>
          </a:r>
          <a:r>
            <a:rPr lang="pt-BR" sz="1000" b="1" baseline="0">
              <a:ln>
                <a:noFill/>
              </a:ln>
              <a:solidFill>
                <a:schemeClr val="dk1"/>
              </a:solidFill>
              <a:latin typeface="+mn-lt"/>
              <a:ea typeface="+mn-ea"/>
              <a:cs typeface="+mn-cs"/>
            </a:rPr>
            <a:t> com Cannoli e Restaurantes = 2</a:t>
          </a:r>
          <a:endParaRPr lang="pt-BR" sz="1000" b="1">
            <a:ln>
              <a:noFill/>
            </a:ln>
            <a:solidFill>
              <a:schemeClr val="dk1"/>
            </a:solidFill>
            <a:latin typeface="+mn-lt"/>
            <a:ea typeface="+mn-ea"/>
            <a:cs typeface="+mn-cs"/>
          </a:endParaRPr>
        </a:p>
      </xdr:txBody>
    </xdr:sp>
    <xdr:clientData/>
  </xdr:twoCellAnchor>
  <xdr:twoCellAnchor>
    <xdr:from>
      <xdr:col>5</xdr:col>
      <xdr:colOff>192820</xdr:colOff>
      <xdr:row>74</xdr:row>
      <xdr:rowOff>19563</xdr:rowOff>
    </xdr:from>
    <xdr:to>
      <xdr:col>8</xdr:col>
      <xdr:colOff>44498</xdr:colOff>
      <xdr:row>76</xdr:row>
      <xdr:rowOff>136524</xdr:rowOff>
    </xdr:to>
    <xdr:sp macro="" textlink="">
      <xdr:nvSpPr>
        <xdr:cNvPr id="40" name="CaixaDeTexto 39">
          <a:extLst>
            <a:ext uri="{FF2B5EF4-FFF2-40B4-BE49-F238E27FC236}">
              <a16:creationId xmlns:a16="http://schemas.microsoft.com/office/drawing/2014/main" id="{420DEC2A-863C-47C2-925E-C90B94B05D55}"/>
            </a:ext>
          </a:extLst>
        </xdr:cNvPr>
        <xdr:cNvSpPr txBox="1"/>
      </xdr:nvSpPr>
      <xdr:spPr>
        <a:xfrm rot="20986205">
          <a:off x="3240820" y="12002013"/>
          <a:ext cx="1680478" cy="440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2C Documentação de Requisitos Funcionais = 2</a:t>
          </a:r>
        </a:p>
      </xdr:txBody>
    </xdr:sp>
    <xdr:clientData/>
  </xdr:twoCellAnchor>
  <xdr:twoCellAnchor>
    <xdr:from>
      <xdr:col>5</xdr:col>
      <xdr:colOff>104697</xdr:colOff>
      <xdr:row>77</xdr:row>
      <xdr:rowOff>125683</xdr:rowOff>
    </xdr:from>
    <xdr:to>
      <xdr:col>8</xdr:col>
      <xdr:colOff>143365</xdr:colOff>
      <xdr:row>81</xdr:row>
      <xdr:rowOff>17052</xdr:rowOff>
    </xdr:to>
    <xdr:sp macro="" textlink="">
      <xdr:nvSpPr>
        <xdr:cNvPr id="41" name="CaixaDeTexto 40">
          <a:extLst>
            <a:ext uri="{FF2B5EF4-FFF2-40B4-BE49-F238E27FC236}">
              <a16:creationId xmlns:a16="http://schemas.microsoft.com/office/drawing/2014/main" id="{9C2E37AB-A4DB-44D2-8613-F23280234CC3}"/>
            </a:ext>
          </a:extLst>
        </xdr:cNvPr>
        <xdr:cNvSpPr txBox="1"/>
      </xdr:nvSpPr>
      <xdr:spPr>
        <a:xfrm>
          <a:off x="3152697" y="12593908"/>
          <a:ext cx="1867468" cy="53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2D Documentação de Requisitos Não Funcionais = 2</a:t>
          </a:r>
        </a:p>
      </xdr:txBody>
    </xdr:sp>
    <xdr:clientData/>
  </xdr:twoCellAnchor>
  <xdr:twoCellAnchor>
    <xdr:from>
      <xdr:col>4</xdr:col>
      <xdr:colOff>67292</xdr:colOff>
      <xdr:row>75</xdr:row>
      <xdr:rowOff>104627</xdr:rowOff>
    </xdr:from>
    <xdr:to>
      <xdr:col>8</xdr:col>
      <xdr:colOff>148081</xdr:colOff>
      <xdr:row>78</xdr:row>
      <xdr:rowOff>83843</xdr:rowOff>
    </xdr:to>
    <xdr:cxnSp macro="">
      <xdr:nvCxnSpPr>
        <xdr:cNvPr id="42" name="Conector de Seta Reta 41">
          <a:extLst>
            <a:ext uri="{FF2B5EF4-FFF2-40B4-BE49-F238E27FC236}">
              <a16:creationId xmlns:a16="http://schemas.microsoft.com/office/drawing/2014/main" id="{19D52653-697A-4B95-B14C-AB64B2E08027}"/>
            </a:ext>
          </a:extLst>
        </xdr:cNvPr>
        <xdr:cNvCxnSpPr/>
      </xdr:nvCxnSpPr>
      <xdr:spPr>
        <a:xfrm flipV="1">
          <a:off x="2505692" y="12249002"/>
          <a:ext cx="2519189" cy="4649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102720</xdr:colOff>
      <xdr:row>73</xdr:row>
      <xdr:rowOff>33550</xdr:rowOff>
    </xdr:from>
    <xdr:to>
      <xdr:col>9</xdr:col>
      <xdr:colOff>87972</xdr:colOff>
      <xdr:row>76</xdr:row>
      <xdr:rowOff>70377</xdr:rowOff>
    </xdr:to>
    <xdr:grpSp>
      <xdr:nvGrpSpPr>
        <xdr:cNvPr id="43" name="Agrupar 42">
          <a:extLst>
            <a:ext uri="{FF2B5EF4-FFF2-40B4-BE49-F238E27FC236}">
              <a16:creationId xmlns:a16="http://schemas.microsoft.com/office/drawing/2014/main" id="{DDF1A788-6782-480B-9036-C2CED53C100D}"/>
            </a:ext>
          </a:extLst>
        </xdr:cNvPr>
        <xdr:cNvGrpSpPr/>
      </xdr:nvGrpSpPr>
      <xdr:grpSpPr>
        <a:xfrm>
          <a:off x="8960970" y="12320800"/>
          <a:ext cx="594852" cy="522602"/>
          <a:chOff x="3885187" y="1015869"/>
          <a:chExt cx="536811" cy="524356"/>
        </a:xfrm>
      </xdr:grpSpPr>
      <xdr:sp macro="" textlink="">
        <xdr:nvSpPr>
          <xdr:cNvPr id="44" name="Elipse 43">
            <a:extLst>
              <a:ext uri="{FF2B5EF4-FFF2-40B4-BE49-F238E27FC236}">
                <a16:creationId xmlns:a16="http://schemas.microsoft.com/office/drawing/2014/main" id="{6F092A21-B7E3-4859-A99E-407C02ED3180}"/>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45" name="CaixaDeTexto 44">
            <a:extLst>
              <a:ext uri="{FF2B5EF4-FFF2-40B4-BE49-F238E27FC236}">
                <a16:creationId xmlns:a16="http://schemas.microsoft.com/office/drawing/2014/main" id="{52FE675F-DA24-481F-8534-F1ED8B2496ED}"/>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8</a:t>
            </a:r>
          </a:p>
        </xdr:txBody>
      </xdr:sp>
    </xdr:grpSp>
    <xdr:clientData/>
  </xdr:twoCellAnchor>
  <xdr:twoCellAnchor>
    <xdr:from>
      <xdr:col>8</xdr:col>
      <xdr:colOff>122045</xdr:colOff>
      <xdr:row>78</xdr:row>
      <xdr:rowOff>98965</xdr:rowOff>
    </xdr:from>
    <xdr:to>
      <xdr:col>9</xdr:col>
      <xdr:colOff>149953</xdr:colOff>
      <xdr:row>82</xdr:row>
      <xdr:rowOff>4882</xdr:rowOff>
    </xdr:to>
    <xdr:grpSp>
      <xdr:nvGrpSpPr>
        <xdr:cNvPr id="46" name="Agrupar 45">
          <a:extLst>
            <a:ext uri="{FF2B5EF4-FFF2-40B4-BE49-F238E27FC236}">
              <a16:creationId xmlns:a16="http://schemas.microsoft.com/office/drawing/2014/main" id="{BE4FDB2A-B1C9-4AC5-827E-FE8B9FA82B47}"/>
            </a:ext>
          </a:extLst>
        </xdr:cNvPr>
        <xdr:cNvGrpSpPr/>
      </xdr:nvGrpSpPr>
      <xdr:grpSpPr>
        <a:xfrm>
          <a:off x="8980295" y="13195840"/>
          <a:ext cx="637508" cy="553617"/>
          <a:chOff x="3885187" y="1015869"/>
          <a:chExt cx="536811" cy="524356"/>
        </a:xfrm>
      </xdr:grpSpPr>
      <xdr:sp macro="" textlink="">
        <xdr:nvSpPr>
          <xdr:cNvPr id="47" name="Elipse 46">
            <a:extLst>
              <a:ext uri="{FF2B5EF4-FFF2-40B4-BE49-F238E27FC236}">
                <a16:creationId xmlns:a16="http://schemas.microsoft.com/office/drawing/2014/main" id="{60DE87AB-3AA2-45C9-B857-6D4D0759E9CE}"/>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48" name="CaixaDeTexto 47">
            <a:extLst>
              <a:ext uri="{FF2B5EF4-FFF2-40B4-BE49-F238E27FC236}">
                <a16:creationId xmlns:a16="http://schemas.microsoft.com/office/drawing/2014/main" id="{CB6798EA-E825-4A9D-8731-28E3FB353528}"/>
              </a:ext>
            </a:extLst>
          </xdr:cNvPr>
          <xdr:cNvSpPr txBox="1"/>
        </xdr:nvSpPr>
        <xdr:spPr>
          <a:xfrm>
            <a:off x="4003712" y="1113211"/>
            <a:ext cx="317210"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9</a:t>
            </a:r>
          </a:p>
        </xdr:txBody>
      </xdr:sp>
    </xdr:grpSp>
    <xdr:clientData/>
  </xdr:twoCellAnchor>
  <xdr:twoCellAnchor>
    <xdr:from>
      <xdr:col>3</xdr:col>
      <xdr:colOff>4644755</xdr:colOff>
      <xdr:row>79</xdr:row>
      <xdr:rowOff>122492</xdr:rowOff>
    </xdr:from>
    <xdr:to>
      <xdr:col>8</xdr:col>
      <xdr:colOff>122045</xdr:colOff>
      <xdr:row>80</xdr:row>
      <xdr:rowOff>51923</xdr:rowOff>
    </xdr:to>
    <xdr:cxnSp macro="">
      <xdr:nvCxnSpPr>
        <xdr:cNvPr id="49" name="Conector de Seta Reta 48">
          <a:extLst>
            <a:ext uri="{FF2B5EF4-FFF2-40B4-BE49-F238E27FC236}">
              <a16:creationId xmlns:a16="http://schemas.microsoft.com/office/drawing/2014/main" id="{D940A0AE-E81B-471D-A951-48AB6524F6CE}"/>
            </a:ext>
          </a:extLst>
        </xdr:cNvPr>
        <xdr:cNvCxnSpPr>
          <a:endCxn id="47" idx="2"/>
        </xdr:cNvCxnSpPr>
      </xdr:nvCxnSpPr>
      <xdr:spPr>
        <a:xfrm>
          <a:off x="2434955" y="12914567"/>
          <a:ext cx="2563890" cy="913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76145</xdr:colOff>
      <xdr:row>71</xdr:row>
      <xdr:rowOff>110219</xdr:rowOff>
    </xdr:from>
    <xdr:ext cx="1483566" cy="146431"/>
    <xdr:pic>
      <xdr:nvPicPr>
        <xdr:cNvPr id="50" name="Imagem 49">
          <a:extLst>
            <a:ext uri="{FF2B5EF4-FFF2-40B4-BE49-F238E27FC236}">
              <a16:creationId xmlns:a16="http://schemas.microsoft.com/office/drawing/2014/main" id="{A3CAB9DB-3D01-4035-8064-3EAC0536E744}"/>
            </a:ext>
          </a:extLst>
        </xdr:cNvPr>
        <xdr:cNvPicPr>
          <a:picLocks noChangeAspect="1"/>
        </xdr:cNvPicPr>
      </xdr:nvPicPr>
      <xdr:blipFill>
        <a:blip xmlns:r="http://schemas.openxmlformats.org/officeDocument/2006/relationships" r:embed="rId1"/>
        <a:stretch>
          <a:fillRect/>
        </a:stretch>
      </xdr:blipFill>
      <xdr:spPr>
        <a:xfrm rot="1641378">
          <a:off x="5562545" y="11606894"/>
          <a:ext cx="1483566" cy="146431"/>
        </a:xfrm>
        <a:prstGeom prst="rect">
          <a:avLst/>
        </a:prstGeom>
      </xdr:spPr>
    </xdr:pic>
    <xdr:clientData/>
  </xdr:oneCellAnchor>
  <xdr:oneCellAnchor>
    <xdr:from>
      <xdr:col>9</xdr:col>
      <xdr:colOff>209484</xdr:colOff>
      <xdr:row>75</xdr:row>
      <xdr:rowOff>23328</xdr:rowOff>
    </xdr:from>
    <xdr:ext cx="1220577" cy="141520"/>
    <xdr:pic>
      <xdr:nvPicPr>
        <xdr:cNvPr id="51" name="Imagem 50">
          <a:extLst>
            <a:ext uri="{FF2B5EF4-FFF2-40B4-BE49-F238E27FC236}">
              <a16:creationId xmlns:a16="http://schemas.microsoft.com/office/drawing/2014/main" id="{E16EF0AD-B9E5-41F1-8D24-EB9B2B22C281}"/>
            </a:ext>
          </a:extLst>
        </xdr:cNvPr>
        <xdr:cNvPicPr>
          <a:picLocks noChangeAspect="1"/>
        </xdr:cNvPicPr>
      </xdr:nvPicPr>
      <xdr:blipFill>
        <a:blip xmlns:r="http://schemas.openxmlformats.org/officeDocument/2006/relationships" r:embed="rId1"/>
        <a:stretch>
          <a:fillRect/>
        </a:stretch>
      </xdr:blipFill>
      <xdr:spPr>
        <a:xfrm rot="201786">
          <a:off x="5695884" y="12167703"/>
          <a:ext cx="1220577" cy="141520"/>
        </a:xfrm>
        <a:prstGeom prst="rect">
          <a:avLst/>
        </a:prstGeom>
      </xdr:spPr>
    </xdr:pic>
    <xdr:clientData/>
  </xdr:oneCellAnchor>
  <xdr:oneCellAnchor>
    <xdr:from>
      <xdr:col>9</xdr:col>
      <xdr:colOff>241261</xdr:colOff>
      <xdr:row>77</xdr:row>
      <xdr:rowOff>66869</xdr:rowOff>
    </xdr:from>
    <xdr:ext cx="1456628" cy="172901"/>
    <xdr:pic>
      <xdr:nvPicPr>
        <xdr:cNvPr id="52" name="Imagem 51">
          <a:extLst>
            <a:ext uri="{FF2B5EF4-FFF2-40B4-BE49-F238E27FC236}">
              <a16:creationId xmlns:a16="http://schemas.microsoft.com/office/drawing/2014/main" id="{572B488C-E285-4DCA-9589-D8191FE75AD2}"/>
            </a:ext>
          </a:extLst>
        </xdr:cNvPr>
        <xdr:cNvPicPr>
          <a:picLocks noChangeAspect="1"/>
        </xdr:cNvPicPr>
      </xdr:nvPicPr>
      <xdr:blipFill>
        <a:blip xmlns:r="http://schemas.openxmlformats.org/officeDocument/2006/relationships" r:embed="rId1"/>
        <a:stretch>
          <a:fillRect/>
        </a:stretch>
      </xdr:blipFill>
      <xdr:spPr>
        <a:xfrm rot="20793340" flipV="1">
          <a:off x="5727661" y="12535094"/>
          <a:ext cx="1456628" cy="172901"/>
        </a:xfrm>
        <a:prstGeom prst="rect">
          <a:avLst/>
        </a:prstGeom>
      </xdr:spPr>
    </xdr:pic>
    <xdr:clientData/>
  </xdr:oneCellAnchor>
  <xdr:twoCellAnchor>
    <xdr:from>
      <xdr:col>11</xdr:col>
      <xdr:colOff>383225</xdr:colOff>
      <xdr:row>75</xdr:row>
      <xdr:rowOff>54684</xdr:rowOff>
    </xdr:from>
    <xdr:to>
      <xdr:col>12</xdr:col>
      <xdr:colOff>392231</xdr:colOff>
      <xdr:row>78</xdr:row>
      <xdr:rowOff>113492</xdr:rowOff>
    </xdr:to>
    <xdr:grpSp>
      <xdr:nvGrpSpPr>
        <xdr:cNvPr id="53" name="Agrupar 52">
          <a:extLst>
            <a:ext uri="{FF2B5EF4-FFF2-40B4-BE49-F238E27FC236}">
              <a16:creationId xmlns:a16="http://schemas.microsoft.com/office/drawing/2014/main" id="{D5BA8720-B162-48FA-BC6C-8A729CB20910}"/>
            </a:ext>
          </a:extLst>
        </xdr:cNvPr>
        <xdr:cNvGrpSpPr/>
      </xdr:nvGrpSpPr>
      <xdr:grpSpPr>
        <a:xfrm>
          <a:off x="11070275" y="12665784"/>
          <a:ext cx="618606" cy="544583"/>
          <a:chOff x="3885187" y="1015869"/>
          <a:chExt cx="551387" cy="524356"/>
        </a:xfrm>
      </xdr:grpSpPr>
      <xdr:sp macro="" textlink="">
        <xdr:nvSpPr>
          <xdr:cNvPr id="54" name="Elipse 53">
            <a:extLst>
              <a:ext uri="{FF2B5EF4-FFF2-40B4-BE49-F238E27FC236}">
                <a16:creationId xmlns:a16="http://schemas.microsoft.com/office/drawing/2014/main" id="{3C10E931-8F0A-478E-9E04-262BF6E193AF}"/>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55" name="CaixaDeTexto 54">
            <a:extLst>
              <a:ext uri="{FF2B5EF4-FFF2-40B4-BE49-F238E27FC236}">
                <a16:creationId xmlns:a16="http://schemas.microsoft.com/office/drawing/2014/main" id="{61624103-5AC1-4992-80AE-350F40F098B6}"/>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10</a:t>
            </a:r>
          </a:p>
        </xdr:txBody>
      </xdr:sp>
    </xdr:grpSp>
    <xdr:clientData/>
  </xdr:twoCellAnchor>
  <xdr:twoCellAnchor>
    <xdr:from>
      <xdr:col>12</xdr:col>
      <xdr:colOff>342045</xdr:colOff>
      <xdr:row>71</xdr:row>
      <xdr:rowOff>118359</xdr:rowOff>
    </xdr:from>
    <xdr:to>
      <xdr:col>14</xdr:col>
      <xdr:colOff>334153</xdr:colOff>
      <xdr:row>75</xdr:row>
      <xdr:rowOff>99958</xdr:rowOff>
    </xdr:to>
    <xdr:cxnSp macro="">
      <xdr:nvCxnSpPr>
        <xdr:cNvPr id="56" name="Conector de Seta Reta 55">
          <a:extLst>
            <a:ext uri="{FF2B5EF4-FFF2-40B4-BE49-F238E27FC236}">
              <a16:creationId xmlns:a16="http://schemas.microsoft.com/office/drawing/2014/main" id="{8680AFAA-E6CE-4F3A-B180-0BACEE8262D8}"/>
            </a:ext>
          </a:extLst>
        </xdr:cNvPr>
        <xdr:cNvCxnSpPr/>
      </xdr:nvCxnSpPr>
      <xdr:spPr>
        <a:xfrm flipV="1">
          <a:off x="7657245" y="11615034"/>
          <a:ext cx="1211308" cy="629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573415</xdr:colOff>
      <xdr:row>70</xdr:row>
      <xdr:rowOff>150635</xdr:rowOff>
    </xdr:from>
    <xdr:to>
      <xdr:col>14</xdr:col>
      <xdr:colOff>433568</xdr:colOff>
      <xdr:row>73</xdr:row>
      <xdr:rowOff>103350</xdr:rowOff>
    </xdr:to>
    <xdr:sp macro="" textlink="">
      <xdr:nvSpPr>
        <xdr:cNvPr id="57" name="CaixaDeTexto 56">
          <a:extLst>
            <a:ext uri="{FF2B5EF4-FFF2-40B4-BE49-F238E27FC236}">
              <a16:creationId xmlns:a16="http://schemas.microsoft.com/office/drawing/2014/main" id="{00088CE7-1A8F-401D-A7FF-BC146375967D}"/>
            </a:ext>
          </a:extLst>
        </xdr:cNvPr>
        <xdr:cNvSpPr txBox="1"/>
      </xdr:nvSpPr>
      <xdr:spPr>
        <a:xfrm rot="19895477">
          <a:off x="7279015" y="11485385"/>
          <a:ext cx="1688953" cy="43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2E. Definição</a:t>
          </a:r>
          <a:r>
            <a:rPr lang="pt-BR" sz="1000" b="1" baseline="0">
              <a:ln>
                <a:noFill/>
              </a:ln>
              <a:solidFill>
                <a:schemeClr val="dk1"/>
              </a:solidFill>
              <a:latin typeface="+mn-lt"/>
              <a:ea typeface="+mn-ea"/>
              <a:cs typeface="+mn-cs"/>
            </a:rPr>
            <a:t> do Escopo detalhado = 1</a:t>
          </a:r>
          <a:endParaRPr lang="pt-BR" sz="1000" b="1">
            <a:ln>
              <a:noFill/>
            </a:ln>
            <a:solidFill>
              <a:schemeClr val="dk1"/>
            </a:solidFill>
            <a:latin typeface="+mn-lt"/>
            <a:ea typeface="+mn-ea"/>
            <a:cs typeface="+mn-cs"/>
          </a:endParaRPr>
        </a:p>
      </xdr:txBody>
    </xdr:sp>
    <xdr:clientData/>
  </xdr:twoCellAnchor>
  <xdr:twoCellAnchor>
    <xdr:from>
      <xdr:col>12</xdr:col>
      <xdr:colOff>466166</xdr:colOff>
      <xdr:row>75</xdr:row>
      <xdr:rowOff>19406</xdr:rowOff>
    </xdr:from>
    <xdr:to>
      <xdr:col>15</xdr:col>
      <xdr:colOff>307269</xdr:colOff>
      <xdr:row>77</xdr:row>
      <xdr:rowOff>124288</xdr:rowOff>
    </xdr:to>
    <xdr:sp macro="" textlink="">
      <xdr:nvSpPr>
        <xdr:cNvPr id="58" name="CaixaDeTexto 57">
          <a:extLst>
            <a:ext uri="{FF2B5EF4-FFF2-40B4-BE49-F238E27FC236}">
              <a16:creationId xmlns:a16="http://schemas.microsoft.com/office/drawing/2014/main" id="{68344655-44E8-4141-B598-2F5FB2EC265F}"/>
            </a:ext>
          </a:extLst>
        </xdr:cNvPr>
        <xdr:cNvSpPr txBox="1"/>
      </xdr:nvSpPr>
      <xdr:spPr>
        <a:xfrm>
          <a:off x="7781366" y="12163781"/>
          <a:ext cx="1669903" cy="428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2F. Cronograma e Marcos do projeto = 1</a:t>
          </a:r>
        </a:p>
      </xdr:txBody>
    </xdr:sp>
    <xdr:clientData/>
  </xdr:twoCellAnchor>
  <xdr:twoCellAnchor>
    <xdr:from>
      <xdr:col>12</xdr:col>
      <xdr:colOff>241909</xdr:colOff>
      <xdr:row>79</xdr:row>
      <xdr:rowOff>140911</xdr:rowOff>
    </xdr:from>
    <xdr:to>
      <xdr:col>15</xdr:col>
      <xdr:colOff>82717</xdr:colOff>
      <xdr:row>82</xdr:row>
      <xdr:rowOff>98844</xdr:rowOff>
    </xdr:to>
    <xdr:sp macro="" textlink="">
      <xdr:nvSpPr>
        <xdr:cNvPr id="59" name="CaixaDeTexto 58">
          <a:extLst>
            <a:ext uri="{FF2B5EF4-FFF2-40B4-BE49-F238E27FC236}">
              <a16:creationId xmlns:a16="http://schemas.microsoft.com/office/drawing/2014/main" id="{E5D0854B-AA0A-4CA5-BBC8-B892D6F599DD}"/>
            </a:ext>
          </a:extLst>
        </xdr:cNvPr>
        <xdr:cNvSpPr txBox="1"/>
      </xdr:nvSpPr>
      <xdr:spPr>
        <a:xfrm rot="1624358">
          <a:off x="7557109" y="12932986"/>
          <a:ext cx="1669608" cy="443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2G. Planejamento</a:t>
          </a:r>
          <a:r>
            <a:rPr lang="pt-BR" sz="1000" b="1" baseline="0">
              <a:ln>
                <a:noFill/>
              </a:ln>
              <a:solidFill>
                <a:schemeClr val="dk1"/>
              </a:solidFill>
              <a:latin typeface="+mn-lt"/>
              <a:ea typeface="+mn-ea"/>
              <a:cs typeface="+mn-cs"/>
            </a:rPr>
            <a:t> de Segurança e LGPD = 1</a:t>
          </a:r>
          <a:endParaRPr lang="pt-BR" sz="1000" b="1">
            <a:ln>
              <a:noFill/>
            </a:ln>
            <a:solidFill>
              <a:schemeClr val="dk1"/>
            </a:solidFill>
            <a:latin typeface="+mn-lt"/>
            <a:ea typeface="+mn-ea"/>
            <a:cs typeface="+mn-cs"/>
          </a:endParaRPr>
        </a:p>
      </xdr:txBody>
    </xdr:sp>
    <xdr:clientData/>
  </xdr:twoCellAnchor>
  <xdr:twoCellAnchor>
    <xdr:from>
      <xdr:col>12</xdr:col>
      <xdr:colOff>502985</xdr:colOff>
      <xdr:row>77</xdr:row>
      <xdr:rowOff>67005</xdr:rowOff>
    </xdr:from>
    <xdr:to>
      <xdr:col>15</xdr:col>
      <xdr:colOff>351442</xdr:colOff>
      <xdr:row>77</xdr:row>
      <xdr:rowOff>123461</xdr:rowOff>
    </xdr:to>
    <xdr:cxnSp macro="">
      <xdr:nvCxnSpPr>
        <xdr:cNvPr id="60" name="Conector de Seta Reta 59">
          <a:extLst>
            <a:ext uri="{FF2B5EF4-FFF2-40B4-BE49-F238E27FC236}">
              <a16:creationId xmlns:a16="http://schemas.microsoft.com/office/drawing/2014/main" id="{4EB8B8A8-7124-4217-93CC-8C86E6E070A8}"/>
            </a:ext>
          </a:extLst>
        </xdr:cNvPr>
        <xdr:cNvCxnSpPr/>
      </xdr:nvCxnSpPr>
      <xdr:spPr>
        <a:xfrm>
          <a:off x="7818185" y="12535230"/>
          <a:ext cx="1677257" cy="564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226768</xdr:colOff>
      <xdr:row>79</xdr:row>
      <xdr:rowOff>86983</xdr:rowOff>
    </xdr:from>
    <xdr:to>
      <xdr:col>14</xdr:col>
      <xdr:colOff>389196</xdr:colOff>
      <xdr:row>83</xdr:row>
      <xdr:rowOff>156038</xdr:rowOff>
    </xdr:to>
    <xdr:cxnSp macro="">
      <xdr:nvCxnSpPr>
        <xdr:cNvPr id="61" name="Conector de Seta Reta 60">
          <a:extLst>
            <a:ext uri="{FF2B5EF4-FFF2-40B4-BE49-F238E27FC236}">
              <a16:creationId xmlns:a16="http://schemas.microsoft.com/office/drawing/2014/main" id="{5139DA33-D33E-4369-9FE9-CF1A3ECFB434}"/>
            </a:ext>
          </a:extLst>
        </xdr:cNvPr>
        <xdr:cNvCxnSpPr/>
      </xdr:nvCxnSpPr>
      <xdr:spPr>
        <a:xfrm>
          <a:off x="7541968" y="12879058"/>
          <a:ext cx="1381628" cy="7167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355299</xdr:colOff>
      <xdr:row>69</xdr:row>
      <xdr:rowOff>66507</xdr:rowOff>
    </xdr:from>
    <xdr:to>
      <xdr:col>15</xdr:col>
      <xdr:colOff>368113</xdr:colOff>
      <xdr:row>72</xdr:row>
      <xdr:rowOff>122437</xdr:rowOff>
    </xdr:to>
    <xdr:grpSp>
      <xdr:nvGrpSpPr>
        <xdr:cNvPr id="62" name="Agrupar 61">
          <a:extLst>
            <a:ext uri="{FF2B5EF4-FFF2-40B4-BE49-F238E27FC236}">
              <a16:creationId xmlns:a16="http://schemas.microsoft.com/office/drawing/2014/main" id="{9BB0733B-5680-464C-967A-6AA8242E0572}"/>
            </a:ext>
          </a:extLst>
        </xdr:cNvPr>
        <xdr:cNvGrpSpPr/>
      </xdr:nvGrpSpPr>
      <xdr:grpSpPr>
        <a:xfrm>
          <a:off x="12871149" y="11706057"/>
          <a:ext cx="622414" cy="541705"/>
          <a:chOff x="3885187" y="1015869"/>
          <a:chExt cx="551387" cy="524356"/>
        </a:xfrm>
      </xdr:grpSpPr>
      <xdr:sp macro="" textlink="">
        <xdr:nvSpPr>
          <xdr:cNvPr id="63" name="Elipse 62">
            <a:extLst>
              <a:ext uri="{FF2B5EF4-FFF2-40B4-BE49-F238E27FC236}">
                <a16:creationId xmlns:a16="http://schemas.microsoft.com/office/drawing/2014/main" id="{618C9C42-AD1C-427E-AEA0-3B2FD7B1CE91}"/>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4" name="CaixaDeTexto 63">
            <a:extLst>
              <a:ext uri="{FF2B5EF4-FFF2-40B4-BE49-F238E27FC236}">
                <a16:creationId xmlns:a16="http://schemas.microsoft.com/office/drawing/2014/main" id="{E261E4A1-C8EF-4FD8-9BFE-2BA2F87C38BB}"/>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11</a:t>
            </a:r>
          </a:p>
        </xdr:txBody>
      </xdr:sp>
    </xdr:grpSp>
    <xdr:clientData/>
  </xdr:twoCellAnchor>
  <xdr:twoCellAnchor>
    <xdr:from>
      <xdr:col>15</xdr:col>
      <xdr:colOff>407443</xdr:colOff>
      <xdr:row>75</xdr:row>
      <xdr:rowOff>118057</xdr:rowOff>
    </xdr:from>
    <xdr:to>
      <xdr:col>16</xdr:col>
      <xdr:colOff>414543</xdr:colOff>
      <xdr:row>78</xdr:row>
      <xdr:rowOff>157321</xdr:rowOff>
    </xdr:to>
    <xdr:grpSp>
      <xdr:nvGrpSpPr>
        <xdr:cNvPr id="65" name="Agrupar 64">
          <a:extLst>
            <a:ext uri="{FF2B5EF4-FFF2-40B4-BE49-F238E27FC236}">
              <a16:creationId xmlns:a16="http://schemas.microsoft.com/office/drawing/2014/main" id="{8C4B5ACE-F008-4303-A469-A65ECF6EE899}"/>
            </a:ext>
          </a:extLst>
        </xdr:cNvPr>
        <xdr:cNvGrpSpPr/>
      </xdr:nvGrpSpPr>
      <xdr:grpSpPr>
        <a:xfrm>
          <a:off x="13532893" y="12729157"/>
          <a:ext cx="616700" cy="525039"/>
          <a:chOff x="3885187" y="1015869"/>
          <a:chExt cx="551387" cy="524356"/>
        </a:xfrm>
      </xdr:grpSpPr>
      <xdr:sp macro="" textlink="">
        <xdr:nvSpPr>
          <xdr:cNvPr id="66" name="Elipse 65">
            <a:extLst>
              <a:ext uri="{FF2B5EF4-FFF2-40B4-BE49-F238E27FC236}">
                <a16:creationId xmlns:a16="http://schemas.microsoft.com/office/drawing/2014/main" id="{CA060885-D6BD-4B60-BBE0-53B157C1D538}"/>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67" name="CaixaDeTexto 66">
            <a:extLst>
              <a:ext uri="{FF2B5EF4-FFF2-40B4-BE49-F238E27FC236}">
                <a16:creationId xmlns:a16="http://schemas.microsoft.com/office/drawing/2014/main" id="{8EDD2527-0227-4731-B193-F046A020C91A}"/>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12</a:t>
            </a:r>
          </a:p>
        </xdr:txBody>
      </xdr:sp>
    </xdr:grpSp>
    <xdr:clientData/>
  </xdr:twoCellAnchor>
  <xdr:twoCellAnchor>
    <xdr:from>
      <xdr:col>14</xdr:col>
      <xdr:colOff>483494</xdr:colOff>
      <xdr:row>82</xdr:row>
      <xdr:rowOff>145160</xdr:rowOff>
    </xdr:from>
    <xdr:to>
      <xdr:col>15</xdr:col>
      <xdr:colOff>503930</xdr:colOff>
      <xdr:row>86</xdr:row>
      <xdr:rowOff>44617</xdr:rowOff>
    </xdr:to>
    <xdr:grpSp>
      <xdr:nvGrpSpPr>
        <xdr:cNvPr id="68" name="Agrupar 67">
          <a:extLst>
            <a:ext uri="{FF2B5EF4-FFF2-40B4-BE49-F238E27FC236}">
              <a16:creationId xmlns:a16="http://schemas.microsoft.com/office/drawing/2014/main" id="{E5413BCB-6F5D-42EE-B6F5-291225CFBD39}"/>
            </a:ext>
          </a:extLst>
        </xdr:cNvPr>
        <xdr:cNvGrpSpPr/>
      </xdr:nvGrpSpPr>
      <xdr:grpSpPr>
        <a:xfrm>
          <a:off x="12999344" y="13889735"/>
          <a:ext cx="630036" cy="547157"/>
          <a:chOff x="3885187" y="1015869"/>
          <a:chExt cx="551387" cy="524356"/>
        </a:xfrm>
      </xdr:grpSpPr>
      <xdr:sp macro="" textlink="">
        <xdr:nvSpPr>
          <xdr:cNvPr id="69" name="Elipse 68">
            <a:extLst>
              <a:ext uri="{FF2B5EF4-FFF2-40B4-BE49-F238E27FC236}">
                <a16:creationId xmlns:a16="http://schemas.microsoft.com/office/drawing/2014/main" id="{00302EC8-85E8-4CAD-BEB8-119DCC7B3AA5}"/>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0" name="CaixaDeTexto 69">
            <a:extLst>
              <a:ext uri="{FF2B5EF4-FFF2-40B4-BE49-F238E27FC236}">
                <a16:creationId xmlns:a16="http://schemas.microsoft.com/office/drawing/2014/main" id="{7DF4DEE7-88C8-493A-AF43-BD0908C13151}"/>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13</a:t>
            </a:r>
          </a:p>
        </xdr:txBody>
      </xdr:sp>
    </xdr:grpSp>
    <xdr:clientData/>
  </xdr:twoCellAnchor>
  <xdr:twoCellAnchor>
    <xdr:from>
      <xdr:col>3</xdr:col>
      <xdr:colOff>4629807</xdr:colOff>
      <xdr:row>80</xdr:row>
      <xdr:rowOff>148748</xdr:rowOff>
    </xdr:from>
    <xdr:to>
      <xdr:col>7</xdr:col>
      <xdr:colOff>293076</xdr:colOff>
      <xdr:row>85</xdr:row>
      <xdr:rowOff>65943</xdr:rowOff>
    </xdr:to>
    <xdr:cxnSp macro="">
      <xdr:nvCxnSpPr>
        <xdr:cNvPr id="71" name="Conector de Seta Reta 70">
          <a:extLst>
            <a:ext uri="{FF2B5EF4-FFF2-40B4-BE49-F238E27FC236}">
              <a16:creationId xmlns:a16="http://schemas.microsoft.com/office/drawing/2014/main" id="{8852091A-E877-4943-A31D-C8F7F34674DB}"/>
            </a:ext>
          </a:extLst>
        </xdr:cNvPr>
        <xdr:cNvCxnSpPr/>
      </xdr:nvCxnSpPr>
      <xdr:spPr>
        <a:xfrm>
          <a:off x="2439057" y="13102748"/>
          <a:ext cx="2121219" cy="72682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569172</xdr:colOff>
      <xdr:row>81</xdr:row>
      <xdr:rowOff>78783</xdr:rowOff>
    </xdr:from>
    <xdr:to>
      <xdr:col>7</xdr:col>
      <xdr:colOff>450288</xdr:colOff>
      <xdr:row>84</xdr:row>
      <xdr:rowOff>4489</xdr:rowOff>
    </xdr:to>
    <xdr:sp macro="" textlink="">
      <xdr:nvSpPr>
        <xdr:cNvPr id="72" name="CaixaDeTexto 71">
          <a:extLst>
            <a:ext uri="{FF2B5EF4-FFF2-40B4-BE49-F238E27FC236}">
              <a16:creationId xmlns:a16="http://schemas.microsoft.com/office/drawing/2014/main" id="{735B7B1F-4394-446E-8E19-7645C9B8CADE}"/>
            </a:ext>
          </a:extLst>
        </xdr:cNvPr>
        <xdr:cNvSpPr txBox="1"/>
      </xdr:nvSpPr>
      <xdr:spPr>
        <a:xfrm rot="1154545">
          <a:off x="3007572" y="13194708"/>
          <a:ext cx="1709916" cy="41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3A. UX - Experiência</a:t>
          </a:r>
          <a:r>
            <a:rPr lang="pt-BR" sz="1000" b="1" baseline="0">
              <a:ln>
                <a:noFill/>
              </a:ln>
              <a:solidFill>
                <a:schemeClr val="dk1"/>
              </a:solidFill>
              <a:latin typeface="+mn-lt"/>
              <a:ea typeface="+mn-ea"/>
              <a:cs typeface="+mn-cs"/>
            </a:rPr>
            <a:t> do Usuário = 1</a:t>
          </a:r>
          <a:endParaRPr lang="pt-BR" sz="1000" b="1">
            <a:ln>
              <a:noFill/>
            </a:ln>
            <a:solidFill>
              <a:schemeClr val="dk1"/>
            </a:solidFill>
            <a:latin typeface="+mn-lt"/>
            <a:ea typeface="+mn-ea"/>
            <a:cs typeface="+mn-cs"/>
          </a:endParaRPr>
        </a:p>
      </xdr:txBody>
    </xdr:sp>
    <xdr:clientData/>
  </xdr:twoCellAnchor>
  <xdr:twoCellAnchor>
    <xdr:from>
      <xdr:col>7</xdr:col>
      <xdr:colOff>307576</xdr:colOff>
      <xdr:row>84</xdr:row>
      <xdr:rowOff>42977</xdr:rowOff>
    </xdr:from>
    <xdr:to>
      <xdr:col>8</xdr:col>
      <xdr:colOff>333618</xdr:colOff>
      <xdr:row>87</xdr:row>
      <xdr:rowOff>90636</xdr:rowOff>
    </xdr:to>
    <xdr:grpSp>
      <xdr:nvGrpSpPr>
        <xdr:cNvPr id="73" name="Agrupar 72">
          <a:extLst>
            <a:ext uri="{FF2B5EF4-FFF2-40B4-BE49-F238E27FC236}">
              <a16:creationId xmlns:a16="http://schemas.microsoft.com/office/drawing/2014/main" id="{C74ED400-1E93-41C9-833C-DA0B86EA8E90}"/>
            </a:ext>
          </a:extLst>
        </xdr:cNvPr>
        <xdr:cNvGrpSpPr/>
      </xdr:nvGrpSpPr>
      <xdr:grpSpPr>
        <a:xfrm>
          <a:off x="8556226" y="14111402"/>
          <a:ext cx="635642" cy="533434"/>
          <a:chOff x="3885187" y="1015869"/>
          <a:chExt cx="551387" cy="524356"/>
        </a:xfrm>
      </xdr:grpSpPr>
      <xdr:sp macro="" textlink="">
        <xdr:nvSpPr>
          <xdr:cNvPr id="74" name="Elipse 73">
            <a:extLst>
              <a:ext uri="{FF2B5EF4-FFF2-40B4-BE49-F238E27FC236}">
                <a16:creationId xmlns:a16="http://schemas.microsoft.com/office/drawing/2014/main" id="{C5A44740-F62E-48BF-9D0B-2AD1508C637B}"/>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5" name="CaixaDeTexto 74">
            <a:extLst>
              <a:ext uri="{FF2B5EF4-FFF2-40B4-BE49-F238E27FC236}">
                <a16:creationId xmlns:a16="http://schemas.microsoft.com/office/drawing/2014/main" id="{3E782064-BE76-41C2-A632-A61637C11E43}"/>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14</a:t>
            </a:r>
          </a:p>
        </xdr:txBody>
      </xdr:sp>
    </xdr:grpSp>
    <xdr:clientData/>
  </xdr:twoCellAnchor>
  <xdr:twoCellAnchor>
    <xdr:from>
      <xdr:col>8</xdr:col>
      <xdr:colOff>226435</xdr:colOff>
      <xdr:row>81</xdr:row>
      <xdr:rowOff>21981</xdr:rowOff>
    </xdr:from>
    <xdr:to>
      <xdr:col>10</xdr:col>
      <xdr:colOff>351693</xdr:colOff>
      <xdr:row>84</xdr:row>
      <xdr:rowOff>120775</xdr:rowOff>
    </xdr:to>
    <xdr:cxnSp macro="">
      <xdr:nvCxnSpPr>
        <xdr:cNvPr id="76" name="Conector de Seta Reta 75">
          <a:extLst>
            <a:ext uri="{FF2B5EF4-FFF2-40B4-BE49-F238E27FC236}">
              <a16:creationId xmlns:a16="http://schemas.microsoft.com/office/drawing/2014/main" id="{BA5C36DF-11CE-42BF-A084-D31D1A5E3B52}"/>
            </a:ext>
          </a:extLst>
        </xdr:cNvPr>
        <xdr:cNvCxnSpPr>
          <a:stCxn id="74" idx="7"/>
        </xdr:cNvCxnSpPr>
      </xdr:nvCxnSpPr>
      <xdr:spPr>
        <a:xfrm flipV="1">
          <a:off x="5103235" y="13137906"/>
          <a:ext cx="1344458" cy="5845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367476</xdr:colOff>
      <xdr:row>78</xdr:row>
      <xdr:rowOff>134939</xdr:rowOff>
    </xdr:from>
    <xdr:to>
      <xdr:col>11</xdr:col>
      <xdr:colOff>428625</xdr:colOff>
      <xdr:row>82</xdr:row>
      <xdr:rowOff>55607</xdr:rowOff>
    </xdr:to>
    <xdr:grpSp>
      <xdr:nvGrpSpPr>
        <xdr:cNvPr id="77" name="Agrupar 76">
          <a:extLst>
            <a:ext uri="{FF2B5EF4-FFF2-40B4-BE49-F238E27FC236}">
              <a16:creationId xmlns:a16="http://schemas.microsoft.com/office/drawing/2014/main" id="{2BE4CA20-324F-4904-A3C0-6490096563A2}"/>
            </a:ext>
          </a:extLst>
        </xdr:cNvPr>
        <xdr:cNvGrpSpPr/>
      </xdr:nvGrpSpPr>
      <xdr:grpSpPr>
        <a:xfrm>
          <a:off x="10444926" y="13231814"/>
          <a:ext cx="670749" cy="568368"/>
          <a:chOff x="3885187" y="1015869"/>
          <a:chExt cx="551387" cy="524356"/>
        </a:xfrm>
      </xdr:grpSpPr>
      <xdr:sp macro="" textlink="">
        <xdr:nvSpPr>
          <xdr:cNvPr id="78" name="Elipse 77">
            <a:extLst>
              <a:ext uri="{FF2B5EF4-FFF2-40B4-BE49-F238E27FC236}">
                <a16:creationId xmlns:a16="http://schemas.microsoft.com/office/drawing/2014/main" id="{7796325A-2C4B-44BB-974F-CA95D496CE41}"/>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79" name="CaixaDeTexto 78">
            <a:extLst>
              <a:ext uri="{FF2B5EF4-FFF2-40B4-BE49-F238E27FC236}">
                <a16:creationId xmlns:a16="http://schemas.microsoft.com/office/drawing/2014/main" id="{EE37339F-5AF1-4ECD-A084-621B3249A87B}"/>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15</a:t>
            </a:r>
          </a:p>
        </xdr:txBody>
      </xdr:sp>
    </xdr:grpSp>
    <xdr:clientData/>
  </xdr:twoCellAnchor>
  <xdr:twoCellAnchor>
    <xdr:from>
      <xdr:col>8</xdr:col>
      <xdr:colOff>395654</xdr:colOff>
      <xdr:row>86</xdr:row>
      <xdr:rowOff>29307</xdr:rowOff>
    </xdr:from>
    <xdr:to>
      <xdr:col>10</xdr:col>
      <xdr:colOff>498231</xdr:colOff>
      <xdr:row>86</xdr:row>
      <xdr:rowOff>139211</xdr:rowOff>
    </xdr:to>
    <xdr:cxnSp macro="">
      <xdr:nvCxnSpPr>
        <xdr:cNvPr id="80" name="Conector de Seta Reta 79">
          <a:extLst>
            <a:ext uri="{FF2B5EF4-FFF2-40B4-BE49-F238E27FC236}">
              <a16:creationId xmlns:a16="http://schemas.microsoft.com/office/drawing/2014/main" id="{D14D77C2-A1DD-4B58-8FA5-5468179E8ED2}"/>
            </a:ext>
          </a:extLst>
        </xdr:cNvPr>
        <xdr:cNvCxnSpPr/>
      </xdr:nvCxnSpPr>
      <xdr:spPr>
        <a:xfrm>
          <a:off x="5272454" y="13954857"/>
          <a:ext cx="1321777" cy="1099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544208</xdr:colOff>
      <xdr:row>85</xdr:row>
      <xdr:rowOff>88534</xdr:rowOff>
    </xdr:from>
    <xdr:to>
      <xdr:col>11</xdr:col>
      <xdr:colOff>574167</xdr:colOff>
      <xdr:row>88</xdr:row>
      <xdr:rowOff>136843</xdr:rowOff>
    </xdr:to>
    <xdr:grpSp>
      <xdr:nvGrpSpPr>
        <xdr:cNvPr id="81" name="Agrupar 80">
          <a:extLst>
            <a:ext uri="{FF2B5EF4-FFF2-40B4-BE49-F238E27FC236}">
              <a16:creationId xmlns:a16="http://schemas.microsoft.com/office/drawing/2014/main" id="{FD463936-B100-44BC-A01B-BD1A46032F30}"/>
            </a:ext>
          </a:extLst>
        </xdr:cNvPr>
        <xdr:cNvGrpSpPr/>
      </xdr:nvGrpSpPr>
      <xdr:grpSpPr>
        <a:xfrm>
          <a:off x="10621658" y="14318884"/>
          <a:ext cx="639559" cy="534084"/>
          <a:chOff x="3883659" y="1018938"/>
          <a:chExt cx="552915" cy="529566"/>
        </a:xfrm>
      </xdr:grpSpPr>
      <xdr:sp macro="" textlink="">
        <xdr:nvSpPr>
          <xdr:cNvPr id="82" name="Elipse 81">
            <a:extLst>
              <a:ext uri="{FF2B5EF4-FFF2-40B4-BE49-F238E27FC236}">
                <a16:creationId xmlns:a16="http://schemas.microsoft.com/office/drawing/2014/main" id="{0DF395EA-CE1A-4E1F-AF7A-BDB9B26D47F3}"/>
              </a:ext>
            </a:extLst>
          </xdr:cNvPr>
          <xdr:cNvSpPr/>
        </xdr:nvSpPr>
        <xdr:spPr>
          <a:xfrm>
            <a:off x="3883659" y="1018938"/>
            <a:ext cx="532045" cy="52956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83" name="CaixaDeTexto 82">
            <a:extLst>
              <a:ext uri="{FF2B5EF4-FFF2-40B4-BE49-F238E27FC236}">
                <a16:creationId xmlns:a16="http://schemas.microsoft.com/office/drawing/2014/main" id="{FF61F1FC-7EA9-4CF8-B030-1EE02FE2D168}"/>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16</a:t>
            </a:r>
          </a:p>
        </xdr:txBody>
      </xdr:sp>
    </xdr:grpSp>
    <xdr:clientData/>
  </xdr:twoCellAnchor>
  <xdr:twoCellAnchor>
    <xdr:from>
      <xdr:col>10</xdr:col>
      <xdr:colOff>545984</xdr:colOff>
      <xdr:row>91</xdr:row>
      <xdr:rowOff>59806</xdr:rowOff>
    </xdr:from>
    <xdr:to>
      <xdr:col>11</xdr:col>
      <xdr:colOff>575944</xdr:colOff>
      <xdr:row>94</xdr:row>
      <xdr:rowOff>90662</xdr:rowOff>
    </xdr:to>
    <xdr:grpSp>
      <xdr:nvGrpSpPr>
        <xdr:cNvPr id="84" name="Agrupar 83">
          <a:extLst>
            <a:ext uri="{FF2B5EF4-FFF2-40B4-BE49-F238E27FC236}">
              <a16:creationId xmlns:a16="http://schemas.microsoft.com/office/drawing/2014/main" id="{CE976E1F-7022-46C6-9872-3694F47A9AEF}"/>
            </a:ext>
          </a:extLst>
        </xdr:cNvPr>
        <xdr:cNvGrpSpPr/>
      </xdr:nvGrpSpPr>
      <xdr:grpSpPr>
        <a:xfrm>
          <a:off x="10623434" y="15261706"/>
          <a:ext cx="639560" cy="516631"/>
          <a:chOff x="3885187" y="1015869"/>
          <a:chExt cx="551387" cy="524356"/>
        </a:xfrm>
      </xdr:grpSpPr>
      <xdr:sp macro="" textlink="">
        <xdr:nvSpPr>
          <xdr:cNvPr id="85" name="Elipse 84">
            <a:extLst>
              <a:ext uri="{FF2B5EF4-FFF2-40B4-BE49-F238E27FC236}">
                <a16:creationId xmlns:a16="http://schemas.microsoft.com/office/drawing/2014/main" id="{C9BE9751-C7B4-4579-A221-B4F8A3CFD3B3}"/>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86" name="CaixaDeTexto 85">
            <a:extLst>
              <a:ext uri="{FF2B5EF4-FFF2-40B4-BE49-F238E27FC236}">
                <a16:creationId xmlns:a16="http://schemas.microsoft.com/office/drawing/2014/main" id="{8ABA87EB-086D-4CDA-B1AD-48959E69156B}"/>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17</a:t>
            </a:r>
          </a:p>
        </xdr:txBody>
      </xdr:sp>
    </xdr:grpSp>
    <xdr:clientData/>
  </xdr:twoCellAnchor>
  <xdr:twoCellAnchor>
    <xdr:from>
      <xdr:col>8</xdr:col>
      <xdr:colOff>186764</xdr:colOff>
      <xdr:row>87</xdr:row>
      <xdr:rowOff>18677</xdr:rowOff>
    </xdr:from>
    <xdr:to>
      <xdr:col>10</xdr:col>
      <xdr:colOff>517838</xdr:colOff>
      <xdr:row>92</xdr:row>
      <xdr:rowOff>167868</xdr:rowOff>
    </xdr:to>
    <xdr:cxnSp macro="">
      <xdr:nvCxnSpPr>
        <xdr:cNvPr id="87" name="Conector de Seta Reta 86">
          <a:extLst>
            <a:ext uri="{FF2B5EF4-FFF2-40B4-BE49-F238E27FC236}">
              <a16:creationId xmlns:a16="http://schemas.microsoft.com/office/drawing/2014/main" id="{3B0609FB-CB09-4C19-AEF1-B60FD6650432}"/>
            </a:ext>
          </a:extLst>
        </xdr:cNvPr>
        <xdr:cNvCxnSpPr/>
      </xdr:nvCxnSpPr>
      <xdr:spPr>
        <a:xfrm>
          <a:off x="5063564" y="14106152"/>
          <a:ext cx="1550274" cy="94929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335417</xdr:colOff>
      <xdr:row>82</xdr:row>
      <xdr:rowOff>96619</xdr:rowOff>
    </xdr:from>
    <xdr:to>
      <xdr:col>10</xdr:col>
      <xdr:colOff>453389</xdr:colOff>
      <xdr:row>85</xdr:row>
      <xdr:rowOff>31847</xdr:rowOff>
    </xdr:to>
    <xdr:sp macro="" textlink="">
      <xdr:nvSpPr>
        <xdr:cNvPr id="88" name="CaixaDeTexto 87">
          <a:extLst>
            <a:ext uri="{FF2B5EF4-FFF2-40B4-BE49-F238E27FC236}">
              <a16:creationId xmlns:a16="http://schemas.microsoft.com/office/drawing/2014/main" id="{D8498F0D-3C63-4AC7-AD9B-0573FFD8C55E}"/>
            </a:ext>
          </a:extLst>
        </xdr:cNvPr>
        <xdr:cNvSpPr txBox="1"/>
      </xdr:nvSpPr>
      <xdr:spPr>
        <a:xfrm rot="20123524">
          <a:off x="5212217" y="13374469"/>
          <a:ext cx="1337172" cy="42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3B.</a:t>
          </a:r>
          <a:r>
            <a:rPr lang="pt-BR" sz="1000" b="1" u="none" baseline="0">
              <a:ln>
                <a:noFill/>
              </a:ln>
              <a:solidFill>
                <a:schemeClr val="dk1"/>
              </a:solidFill>
              <a:latin typeface="+mn-lt"/>
              <a:ea typeface="+mn-ea"/>
              <a:cs typeface="+mn-cs"/>
            </a:rPr>
            <a:t> Definição de Personas = 1</a:t>
          </a:r>
          <a:endParaRPr lang="pt-BR" sz="1000" b="1" u="none">
            <a:ln>
              <a:noFill/>
            </a:ln>
            <a:solidFill>
              <a:schemeClr val="dk1"/>
            </a:solidFill>
            <a:latin typeface="+mn-lt"/>
            <a:ea typeface="+mn-ea"/>
            <a:cs typeface="+mn-cs"/>
          </a:endParaRPr>
        </a:p>
      </xdr:txBody>
    </xdr:sp>
    <xdr:clientData/>
  </xdr:twoCellAnchor>
  <xdr:twoCellAnchor>
    <xdr:from>
      <xdr:col>8</xdr:col>
      <xdr:colOff>395892</xdr:colOff>
      <xdr:row>86</xdr:row>
      <xdr:rowOff>52354</xdr:rowOff>
    </xdr:from>
    <xdr:to>
      <xdr:col>10</xdr:col>
      <xdr:colOff>521395</xdr:colOff>
      <xdr:row>88</xdr:row>
      <xdr:rowOff>143060</xdr:rowOff>
    </xdr:to>
    <xdr:sp macro="" textlink="">
      <xdr:nvSpPr>
        <xdr:cNvPr id="89" name="CaixaDeTexto 88">
          <a:extLst>
            <a:ext uri="{FF2B5EF4-FFF2-40B4-BE49-F238E27FC236}">
              <a16:creationId xmlns:a16="http://schemas.microsoft.com/office/drawing/2014/main" id="{B59FA739-A8C2-41AD-8A03-F973C9BF9FE3}"/>
            </a:ext>
          </a:extLst>
        </xdr:cNvPr>
        <xdr:cNvSpPr txBox="1"/>
      </xdr:nvSpPr>
      <xdr:spPr>
        <a:xfrm rot="318565">
          <a:off x="5272692" y="13977904"/>
          <a:ext cx="1344703" cy="414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3C. Jornada do Usuário</a:t>
          </a:r>
          <a:r>
            <a:rPr lang="pt-BR" sz="1000" b="1" u="none" baseline="0">
              <a:ln>
                <a:noFill/>
              </a:ln>
              <a:solidFill>
                <a:schemeClr val="dk1"/>
              </a:solidFill>
              <a:latin typeface="+mn-lt"/>
              <a:ea typeface="+mn-ea"/>
              <a:cs typeface="+mn-cs"/>
            </a:rPr>
            <a:t> = 1</a:t>
          </a:r>
          <a:endParaRPr lang="pt-BR" sz="1000" b="1" u="none">
            <a:ln>
              <a:noFill/>
            </a:ln>
            <a:solidFill>
              <a:schemeClr val="dk1"/>
            </a:solidFill>
            <a:latin typeface="+mn-lt"/>
            <a:ea typeface="+mn-ea"/>
            <a:cs typeface="+mn-cs"/>
          </a:endParaRPr>
        </a:p>
      </xdr:txBody>
    </xdr:sp>
    <xdr:clientData/>
  </xdr:twoCellAnchor>
  <xdr:twoCellAnchor>
    <xdr:from>
      <xdr:col>7</xdr:col>
      <xdr:colOff>582782</xdr:colOff>
      <xdr:row>89</xdr:row>
      <xdr:rowOff>19235</xdr:rowOff>
    </xdr:from>
    <xdr:to>
      <xdr:col>10</xdr:col>
      <xdr:colOff>99394</xdr:colOff>
      <xdr:row>91</xdr:row>
      <xdr:rowOff>106132</xdr:rowOff>
    </xdr:to>
    <xdr:sp macro="" textlink="">
      <xdr:nvSpPr>
        <xdr:cNvPr id="90" name="CaixaDeTexto 89">
          <a:extLst>
            <a:ext uri="{FF2B5EF4-FFF2-40B4-BE49-F238E27FC236}">
              <a16:creationId xmlns:a16="http://schemas.microsoft.com/office/drawing/2014/main" id="{3E37101A-D696-42B8-B151-50CC8924FB1B}"/>
            </a:ext>
          </a:extLst>
        </xdr:cNvPr>
        <xdr:cNvSpPr txBox="1"/>
      </xdr:nvSpPr>
      <xdr:spPr>
        <a:xfrm rot="2043890">
          <a:off x="4849982" y="14430560"/>
          <a:ext cx="1345412" cy="410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3D</a:t>
          </a:r>
          <a:r>
            <a:rPr lang="pt-BR" sz="1000" b="1" u="none" baseline="0">
              <a:ln>
                <a:noFill/>
              </a:ln>
              <a:solidFill>
                <a:schemeClr val="dk1"/>
              </a:solidFill>
              <a:latin typeface="+mn-lt"/>
              <a:ea typeface="+mn-ea"/>
              <a:cs typeface="+mn-cs"/>
            </a:rPr>
            <a:t>. UI - Interface do Usuário = 1</a:t>
          </a:r>
          <a:endParaRPr lang="pt-BR" sz="1000" b="1" u="none">
            <a:ln>
              <a:noFill/>
            </a:ln>
            <a:solidFill>
              <a:schemeClr val="dk1"/>
            </a:solidFill>
            <a:latin typeface="+mn-lt"/>
            <a:ea typeface="+mn-ea"/>
            <a:cs typeface="+mn-cs"/>
          </a:endParaRPr>
        </a:p>
      </xdr:txBody>
    </xdr:sp>
    <xdr:clientData/>
  </xdr:twoCellAnchor>
  <xdr:twoCellAnchor>
    <xdr:from>
      <xdr:col>11</xdr:col>
      <xdr:colOff>527612</xdr:colOff>
      <xdr:row>89</xdr:row>
      <xdr:rowOff>114592</xdr:rowOff>
    </xdr:from>
    <xdr:to>
      <xdr:col>14</xdr:col>
      <xdr:colOff>310346</xdr:colOff>
      <xdr:row>91</xdr:row>
      <xdr:rowOff>68004</xdr:rowOff>
    </xdr:to>
    <xdr:cxnSp macro="">
      <xdr:nvCxnSpPr>
        <xdr:cNvPr id="91" name="Conector de Seta Reta 90">
          <a:extLst>
            <a:ext uri="{FF2B5EF4-FFF2-40B4-BE49-F238E27FC236}">
              <a16:creationId xmlns:a16="http://schemas.microsoft.com/office/drawing/2014/main" id="{6458D48D-A446-4A95-AF77-9228988D75CA}"/>
            </a:ext>
          </a:extLst>
        </xdr:cNvPr>
        <xdr:cNvCxnSpPr/>
      </xdr:nvCxnSpPr>
      <xdr:spPr>
        <a:xfrm flipV="1">
          <a:off x="7233212" y="14525917"/>
          <a:ext cx="1611534" cy="277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564630</xdr:colOff>
      <xdr:row>88</xdr:row>
      <xdr:rowOff>34348</xdr:rowOff>
    </xdr:from>
    <xdr:to>
      <xdr:col>14</xdr:col>
      <xdr:colOff>349628</xdr:colOff>
      <xdr:row>90</xdr:row>
      <xdr:rowOff>117302</xdr:rowOff>
    </xdr:to>
    <xdr:sp macro="" textlink="">
      <xdr:nvSpPr>
        <xdr:cNvPr id="92" name="CaixaDeTexto 91">
          <a:extLst>
            <a:ext uri="{FF2B5EF4-FFF2-40B4-BE49-F238E27FC236}">
              <a16:creationId xmlns:a16="http://schemas.microsoft.com/office/drawing/2014/main" id="{F41028F4-AA82-4FB1-97D3-CB6D7553A9E1}"/>
            </a:ext>
          </a:extLst>
        </xdr:cNvPr>
        <xdr:cNvSpPr txBox="1"/>
      </xdr:nvSpPr>
      <xdr:spPr>
        <a:xfrm rot="21052701">
          <a:off x="7270230" y="14283748"/>
          <a:ext cx="1613798" cy="406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3E.</a:t>
          </a:r>
          <a:r>
            <a:rPr lang="pt-BR" sz="1000" b="1" u="none" baseline="0">
              <a:ln>
                <a:noFill/>
              </a:ln>
              <a:solidFill>
                <a:schemeClr val="dk1"/>
              </a:solidFill>
              <a:latin typeface="+mn-lt"/>
              <a:ea typeface="+mn-ea"/>
              <a:cs typeface="+mn-cs"/>
            </a:rPr>
            <a:t> Definição de paleta de cores e Tipografica = 1</a:t>
          </a:r>
          <a:endParaRPr lang="pt-BR" sz="1000" b="1" u="none">
            <a:ln>
              <a:noFill/>
            </a:ln>
            <a:solidFill>
              <a:schemeClr val="dk1"/>
            </a:solidFill>
            <a:latin typeface="+mn-lt"/>
            <a:ea typeface="+mn-ea"/>
            <a:cs typeface="+mn-cs"/>
          </a:endParaRPr>
        </a:p>
      </xdr:txBody>
    </xdr:sp>
    <xdr:clientData/>
  </xdr:twoCellAnchor>
  <xdr:twoCellAnchor>
    <xdr:from>
      <xdr:col>11</xdr:col>
      <xdr:colOff>586154</xdr:colOff>
      <xdr:row>93</xdr:row>
      <xdr:rowOff>102576</xdr:rowOff>
    </xdr:from>
    <xdr:to>
      <xdr:col>14</xdr:col>
      <xdr:colOff>264288</xdr:colOff>
      <xdr:row>95</xdr:row>
      <xdr:rowOff>94238</xdr:rowOff>
    </xdr:to>
    <xdr:cxnSp macro="">
      <xdr:nvCxnSpPr>
        <xdr:cNvPr id="93" name="Conector de Seta Reta 92">
          <a:extLst>
            <a:ext uri="{FF2B5EF4-FFF2-40B4-BE49-F238E27FC236}">
              <a16:creationId xmlns:a16="http://schemas.microsoft.com/office/drawing/2014/main" id="{75D5E47D-7F25-406D-BB28-EA4A84DF4041}"/>
            </a:ext>
          </a:extLst>
        </xdr:cNvPr>
        <xdr:cNvCxnSpPr/>
      </xdr:nvCxnSpPr>
      <xdr:spPr>
        <a:xfrm>
          <a:off x="7291754" y="15161601"/>
          <a:ext cx="1506934" cy="315512"/>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215141</xdr:colOff>
      <xdr:row>92</xdr:row>
      <xdr:rowOff>72143</xdr:rowOff>
    </xdr:from>
    <xdr:to>
      <xdr:col>14</xdr:col>
      <xdr:colOff>329213</xdr:colOff>
      <xdr:row>94</xdr:row>
      <xdr:rowOff>158317</xdr:rowOff>
    </xdr:to>
    <xdr:sp macro="" textlink="">
      <xdr:nvSpPr>
        <xdr:cNvPr id="94" name="CaixaDeTexto 93">
          <a:extLst>
            <a:ext uri="{FF2B5EF4-FFF2-40B4-BE49-F238E27FC236}">
              <a16:creationId xmlns:a16="http://schemas.microsoft.com/office/drawing/2014/main" id="{B8349921-C116-4F0C-876C-2C499A6BBF97}"/>
            </a:ext>
          </a:extLst>
        </xdr:cNvPr>
        <xdr:cNvSpPr txBox="1"/>
      </xdr:nvSpPr>
      <xdr:spPr>
        <a:xfrm rot="762673">
          <a:off x="7530341" y="14969243"/>
          <a:ext cx="1333272" cy="41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3F. Criação de WireFrames = 1</a:t>
          </a:r>
        </a:p>
      </xdr:txBody>
    </xdr:sp>
    <xdr:clientData/>
  </xdr:twoCellAnchor>
  <xdr:twoCellAnchor>
    <xdr:from>
      <xdr:col>14</xdr:col>
      <xdr:colOff>384972</xdr:colOff>
      <xdr:row>87</xdr:row>
      <xdr:rowOff>147083</xdr:rowOff>
    </xdr:from>
    <xdr:to>
      <xdr:col>15</xdr:col>
      <xdr:colOff>428568</xdr:colOff>
      <xdr:row>91</xdr:row>
      <xdr:rowOff>38142</xdr:rowOff>
    </xdr:to>
    <xdr:grpSp>
      <xdr:nvGrpSpPr>
        <xdr:cNvPr id="95" name="Agrupar 94">
          <a:extLst>
            <a:ext uri="{FF2B5EF4-FFF2-40B4-BE49-F238E27FC236}">
              <a16:creationId xmlns:a16="http://schemas.microsoft.com/office/drawing/2014/main" id="{7B4BA9D1-EC1F-4D1B-BA94-C3C68AF6D881}"/>
            </a:ext>
          </a:extLst>
        </xdr:cNvPr>
        <xdr:cNvGrpSpPr/>
      </xdr:nvGrpSpPr>
      <xdr:grpSpPr>
        <a:xfrm>
          <a:off x="12900822" y="14701283"/>
          <a:ext cx="653196" cy="538759"/>
          <a:chOff x="3885187" y="1015869"/>
          <a:chExt cx="551387" cy="524356"/>
        </a:xfrm>
      </xdr:grpSpPr>
      <xdr:sp macro="" textlink="">
        <xdr:nvSpPr>
          <xdr:cNvPr id="96" name="Elipse 95">
            <a:extLst>
              <a:ext uri="{FF2B5EF4-FFF2-40B4-BE49-F238E27FC236}">
                <a16:creationId xmlns:a16="http://schemas.microsoft.com/office/drawing/2014/main" id="{FC1652EE-0284-48D1-ADE3-BED97A7E3540}"/>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97" name="CaixaDeTexto 96">
            <a:extLst>
              <a:ext uri="{FF2B5EF4-FFF2-40B4-BE49-F238E27FC236}">
                <a16:creationId xmlns:a16="http://schemas.microsoft.com/office/drawing/2014/main" id="{E2BAB27F-155E-4730-A79E-3B347F47B5FE}"/>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18</a:t>
            </a:r>
          </a:p>
        </xdr:txBody>
      </xdr:sp>
    </xdr:grpSp>
    <xdr:clientData/>
  </xdr:twoCellAnchor>
  <xdr:twoCellAnchor>
    <xdr:from>
      <xdr:col>14</xdr:col>
      <xdr:colOff>421661</xdr:colOff>
      <xdr:row>93</xdr:row>
      <xdr:rowOff>18417</xdr:rowOff>
    </xdr:from>
    <xdr:to>
      <xdr:col>15</xdr:col>
      <xdr:colOff>466860</xdr:colOff>
      <xdr:row>96</xdr:row>
      <xdr:rowOff>74036</xdr:rowOff>
    </xdr:to>
    <xdr:grpSp>
      <xdr:nvGrpSpPr>
        <xdr:cNvPr id="98" name="Agrupar 97">
          <a:extLst>
            <a:ext uri="{FF2B5EF4-FFF2-40B4-BE49-F238E27FC236}">
              <a16:creationId xmlns:a16="http://schemas.microsoft.com/office/drawing/2014/main" id="{BDADA9F2-9602-4548-B3C2-E0E0B8D4A08E}"/>
            </a:ext>
          </a:extLst>
        </xdr:cNvPr>
        <xdr:cNvGrpSpPr/>
      </xdr:nvGrpSpPr>
      <xdr:grpSpPr>
        <a:xfrm>
          <a:off x="12937511" y="15544167"/>
          <a:ext cx="654799" cy="541394"/>
          <a:chOff x="3885187" y="1015869"/>
          <a:chExt cx="551387" cy="524356"/>
        </a:xfrm>
      </xdr:grpSpPr>
      <xdr:sp macro="" textlink="">
        <xdr:nvSpPr>
          <xdr:cNvPr id="99" name="Elipse 98">
            <a:extLst>
              <a:ext uri="{FF2B5EF4-FFF2-40B4-BE49-F238E27FC236}">
                <a16:creationId xmlns:a16="http://schemas.microsoft.com/office/drawing/2014/main" id="{9DA052E8-164A-4360-9B5E-768A2C540D8E}"/>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00" name="CaixaDeTexto 99">
            <a:extLst>
              <a:ext uri="{FF2B5EF4-FFF2-40B4-BE49-F238E27FC236}">
                <a16:creationId xmlns:a16="http://schemas.microsoft.com/office/drawing/2014/main" id="{34F30476-5800-41F9-8E20-2CF0A04CC93A}"/>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19</a:t>
            </a:r>
          </a:p>
        </xdr:txBody>
      </xdr:sp>
    </xdr:grpSp>
    <xdr:clientData/>
  </xdr:twoCellAnchor>
  <xdr:twoCellAnchor>
    <xdr:from>
      <xdr:col>15</xdr:col>
      <xdr:colOff>440765</xdr:colOff>
      <xdr:row>94</xdr:row>
      <xdr:rowOff>142043</xdr:rowOff>
    </xdr:from>
    <xdr:to>
      <xdr:col>18</xdr:col>
      <xdr:colOff>59082</xdr:colOff>
      <xdr:row>94</xdr:row>
      <xdr:rowOff>157333</xdr:rowOff>
    </xdr:to>
    <xdr:cxnSp macro="">
      <xdr:nvCxnSpPr>
        <xdr:cNvPr id="101" name="Conector de Seta Reta 100">
          <a:extLst>
            <a:ext uri="{FF2B5EF4-FFF2-40B4-BE49-F238E27FC236}">
              <a16:creationId xmlns:a16="http://schemas.microsoft.com/office/drawing/2014/main" id="{F1F4B7C8-85A3-4387-B1F5-4EC7CF08A9B5}"/>
            </a:ext>
          </a:extLst>
        </xdr:cNvPr>
        <xdr:cNvCxnSpPr/>
      </xdr:nvCxnSpPr>
      <xdr:spPr>
        <a:xfrm>
          <a:off x="9584765" y="15362993"/>
          <a:ext cx="1447117" cy="1529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524461</xdr:colOff>
      <xdr:row>92</xdr:row>
      <xdr:rowOff>69172</xdr:rowOff>
    </xdr:from>
    <xdr:to>
      <xdr:col>18</xdr:col>
      <xdr:colOff>37050</xdr:colOff>
      <xdr:row>95</xdr:row>
      <xdr:rowOff>6615</xdr:rowOff>
    </xdr:to>
    <xdr:sp macro="" textlink="">
      <xdr:nvSpPr>
        <xdr:cNvPr id="102" name="CaixaDeTexto 101">
          <a:extLst>
            <a:ext uri="{FF2B5EF4-FFF2-40B4-BE49-F238E27FC236}">
              <a16:creationId xmlns:a16="http://schemas.microsoft.com/office/drawing/2014/main" id="{A0889D72-F900-4178-98F4-551E7802E0D2}"/>
            </a:ext>
          </a:extLst>
        </xdr:cNvPr>
        <xdr:cNvSpPr txBox="1"/>
      </xdr:nvSpPr>
      <xdr:spPr>
        <a:xfrm>
          <a:off x="9668461" y="14966272"/>
          <a:ext cx="1341389" cy="423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3G. Protótipo</a:t>
          </a:r>
          <a:r>
            <a:rPr lang="pt-BR" sz="1000" b="1" u="none" baseline="0">
              <a:ln>
                <a:noFill/>
              </a:ln>
              <a:solidFill>
                <a:schemeClr val="dk1"/>
              </a:solidFill>
              <a:latin typeface="+mn-lt"/>
              <a:ea typeface="+mn-ea"/>
              <a:cs typeface="+mn-cs"/>
            </a:rPr>
            <a:t> Interativo (Figma) = 1</a:t>
          </a:r>
          <a:endParaRPr lang="pt-BR" sz="1000" b="1" u="none">
            <a:ln>
              <a:noFill/>
            </a:ln>
            <a:solidFill>
              <a:schemeClr val="dk1"/>
            </a:solidFill>
            <a:latin typeface="+mn-lt"/>
            <a:ea typeface="+mn-ea"/>
            <a:cs typeface="+mn-cs"/>
          </a:endParaRPr>
        </a:p>
      </xdr:txBody>
    </xdr:sp>
    <xdr:clientData/>
  </xdr:twoCellAnchor>
  <xdr:twoCellAnchor>
    <xdr:from>
      <xdr:col>18</xdr:col>
      <xdr:colOff>136434</xdr:colOff>
      <xdr:row>92</xdr:row>
      <xdr:rowOff>157708</xdr:rowOff>
    </xdr:from>
    <xdr:to>
      <xdr:col>19</xdr:col>
      <xdr:colOff>166394</xdr:colOff>
      <xdr:row>96</xdr:row>
      <xdr:rowOff>68279</xdr:rowOff>
    </xdr:to>
    <xdr:grpSp>
      <xdr:nvGrpSpPr>
        <xdr:cNvPr id="103" name="Agrupar 102">
          <a:extLst>
            <a:ext uri="{FF2B5EF4-FFF2-40B4-BE49-F238E27FC236}">
              <a16:creationId xmlns:a16="http://schemas.microsoft.com/office/drawing/2014/main" id="{59EC0F70-9096-4D4D-A6C3-1F8BFBEB0DA3}"/>
            </a:ext>
          </a:extLst>
        </xdr:cNvPr>
        <xdr:cNvGrpSpPr/>
      </xdr:nvGrpSpPr>
      <xdr:grpSpPr>
        <a:xfrm>
          <a:off x="15090684" y="15521533"/>
          <a:ext cx="639560" cy="558271"/>
          <a:chOff x="3885187" y="1015869"/>
          <a:chExt cx="551387" cy="524356"/>
        </a:xfrm>
      </xdr:grpSpPr>
      <xdr:sp macro="" textlink="">
        <xdr:nvSpPr>
          <xdr:cNvPr id="104" name="Elipse 103">
            <a:extLst>
              <a:ext uri="{FF2B5EF4-FFF2-40B4-BE49-F238E27FC236}">
                <a16:creationId xmlns:a16="http://schemas.microsoft.com/office/drawing/2014/main" id="{E69BDF03-3A42-4783-929F-CF03D33719DB}"/>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05" name="CaixaDeTexto 104">
            <a:extLst>
              <a:ext uri="{FF2B5EF4-FFF2-40B4-BE49-F238E27FC236}">
                <a16:creationId xmlns:a16="http://schemas.microsoft.com/office/drawing/2014/main" id="{B375926F-9BEE-4007-BF06-689CA0D54777}"/>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20</a:t>
            </a:r>
          </a:p>
        </xdr:txBody>
      </xdr:sp>
    </xdr:grpSp>
    <xdr:clientData/>
  </xdr:twoCellAnchor>
  <xdr:twoCellAnchor>
    <xdr:from>
      <xdr:col>3</xdr:col>
      <xdr:colOff>4373778</xdr:colOff>
      <xdr:row>80</xdr:row>
      <xdr:rowOff>168745</xdr:rowOff>
    </xdr:from>
    <xdr:to>
      <xdr:col>5</xdr:col>
      <xdr:colOff>177165</xdr:colOff>
      <xdr:row>87</xdr:row>
      <xdr:rowOff>152400</xdr:rowOff>
    </xdr:to>
    <xdr:cxnSp macro="">
      <xdr:nvCxnSpPr>
        <xdr:cNvPr id="106" name="Conector de Seta Reta 105">
          <a:extLst>
            <a:ext uri="{FF2B5EF4-FFF2-40B4-BE49-F238E27FC236}">
              <a16:creationId xmlns:a16="http://schemas.microsoft.com/office/drawing/2014/main" id="{363A9173-C080-43E2-B9F5-6ED209EEC558}"/>
            </a:ext>
          </a:extLst>
        </xdr:cNvPr>
        <xdr:cNvCxnSpPr/>
      </xdr:nvCxnSpPr>
      <xdr:spPr>
        <a:xfrm>
          <a:off x="2440203" y="13113220"/>
          <a:ext cx="784962" cy="11266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3816116</xdr:colOff>
      <xdr:row>83</xdr:row>
      <xdr:rowOff>22417</xdr:rowOff>
    </xdr:from>
    <xdr:to>
      <xdr:col>5</xdr:col>
      <xdr:colOff>28975</xdr:colOff>
      <xdr:row>85</xdr:row>
      <xdr:rowOff>135434</xdr:rowOff>
    </xdr:to>
    <xdr:sp macro="" textlink="">
      <xdr:nvSpPr>
        <xdr:cNvPr id="107" name="CaixaDeTexto 106">
          <a:extLst>
            <a:ext uri="{FF2B5EF4-FFF2-40B4-BE49-F238E27FC236}">
              <a16:creationId xmlns:a16="http://schemas.microsoft.com/office/drawing/2014/main" id="{1E964D2E-29C6-40E5-9B46-0E540E9F2A62}"/>
            </a:ext>
          </a:extLst>
        </xdr:cNvPr>
        <xdr:cNvSpPr txBox="1"/>
      </xdr:nvSpPr>
      <xdr:spPr>
        <a:xfrm rot="2694657">
          <a:off x="2434991" y="13462192"/>
          <a:ext cx="641984" cy="436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4A. Preparação</a:t>
          </a:r>
          <a:r>
            <a:rPr lang="pt-BR" sz="1000" b="1" baseline="0">
              <a:ln>
                <a:noFill/>
              </a:ln>
              <a:solidFill>
                <a:schemeClr val="dk1"/>
              </a:solidFill>
              <a:latin typeface="+mn-lt"/>
              <a:ea typeface="+mn-ea"/>
              <a:cs typeface="+mn-cs"/>
            </a:rPr>
            <a:t> do Ambiente = 3</a:t>
          </a:r>
          <a:endParaRPr lang="pt-BR" sz="1000" b="1">
            <a:ln>
              <a:noFill/>
            </a:ln>
            <a:solidFill>
              <a:schemeClr val="dk1"/>
            </a:solidFill>
            <a:latin typeface="+mn-lt"/>
            <a:ea typeface="+mn-ea"/>
            <a:cs typeface="+mn-cs"/>
          </a:endParaRPr>
        </a:p>
      </xdr:txBody>
    </xdr:sp>
    <xdr:clientData/>
  </xdr:twoCellAnchor>
  <xdr:twoCellAnchor>
    <xdr:from>
      <xdr:col>5</xdr:col>
      <xdr:colOff>75366</xdr:colOff>
      <xdr:row>87</xdr:row>
      <xdr:rowOff>130791</xdr:rowOff>
    </xdr:from>
    <xdr:to>
      <xdr:col>6</xdr:col>
      <xdr:colOff>141339</xdr:colOff>
      <xdr:row>91</xdr:row>
      <xdr:rowOff>20987</xdr:rowOff>
    </xdr:to>
    <xdr:grpSp>
      <xdr:nvGrpSpPr>
        <xdr:cNvPr id="108" name="Agrupar 107">
          <a:extLst>
            <a:ext uri="{FF2B5EF4-FFF2-40B4-BE49-F238E27FC236}">
              <a16:creationId xmlns:a16="http://schemas.microsoft.com/office/drawing/2014/main" id="{614F3712-8225-438F-8467-3F22DFF2E637}"/>
            </a:ext>
          </a:extLst>
        </xdr:cNvPr>
        <xdr:cNvGrpSpPr/>
      </xdr:nvGrpSpPr>
      <xdr:grpSpPr>
        <a:xfrm>
          <a:off x="7161966" y="14684991"/>
          <a:ext cx="618423" cy="537896"/>
          <a:chOff x="3885187" y="1015869"/>
          <a:chExt cx="551387" cy="524356"/>
        </a:xfrm>
      </xdr:grpSpPr>
      <xdr:sp macro="" textlink="">
        <xdr:nvSpPr>
          <xdr:cNvPr id="109" name="Elipse 108">
            <a:extLst>
              <a:ext uri="{FF2B5EF4-FFF2-40B4-BE49-F238E27FC236}">
                <a16:creationId xmlns:a16="http://schemas.microsoft.com/office/drawing/2014/main" id="{EBCA00F2-105A-47E4-983C-763887B44095}"/>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10" name="CaixaDeTexto 109">
            <a:extLst>
              <a:ext uri="{FF2B5EF4-FFF2-40B4-BE49-F238E27FC236}">
                <a16:creationId xmlns:a16="http://schemas.microsoft.com/office/drawing/2014/main" id="{80237D96-D491-47A6-BB05-CFA7FAA42E03}"/>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21</a:t>
            </a:r>
          </a:p>
        </xdr:txBody>
      </xdr:sp>
    </xdr:grpSp>
    <xdr:clientData/>
  </xdr:twoCellAnchor>
  <xdr:twoCellAnchor>
    <xdr:from>
      <xdr:col>6</xdr:col>
      <xdr:colOff>41819</xdr:colOff>
      <xdr:row>90</xdr:row>
      <xdr:rowOff>152607</xdr:rowOff>
    </xdr:from>
    <xdr:to>
      <xdr:col>8</xdr:col>
      <xdr:colOff>475919</xdr:colOff>
      <xdr:row>95</xdr:row>
      <xdr:rowOff>115956</xdr:rowOff>
    </xdr:to>
    <xdr:cxnSp macro="">
      <xdr:nvCxnSpPr>
        <xdr:cNvPr id="111" name="Conector de Seta Reta 110">
          <a:extLst>
            <a:ext uri="{FF2B5EF4-FFF2-40B4-BE49-F238E27FC236}">
              <a16:creationId xmlns:a16="http://schemas.microsoft.com/office/drawing/2014/main" id="{89550716-5388-48C6-8926-513D5F273646}"/>
            </a:ext>
          </a:extLst>
        </xdr:cNvPr>
        <xdr:cNvCxnSpPr/>
      </xdr:nvCxnSpPr>
      <xdr:spPr>
        <a:xfrm>
          <a:off x="3699419" y="14725857"/>
          <a:ext cx="1653300" cy="7729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482040</xdr:colOff>
      <xdr:row>95</xdr:row>
      <xdr:rowOff>1915</xdr:rowOff>
    </xdr:from>
    <xdr:to>
      <xdr:col>9</xdr:col>
      <xdr:colOff>508952</xdr:colOff>
      <xdr:row>98</xdr:row>
      <xdr:rowOff>46417</xdr:rowOff>
    </xdr:to>
    <xdr:grpSp>
      <xdr:nvGrpSpPr>
        <xdr:cNvPr id="112" name="Agrupar 111">
          <a:extLst>
            <a:ext uri="{FF2B5EF4-FFF2-40B4-BE49-F238E27FC236}">
              <a16:creationId xmlns:a16="http://schemas.microsoft.com/office/drawing/2014/main" id="{77B6D937-33BE-4A11-8562-EA30CDA3D3B5}"/>
            </a:ext>
          </a:extLst>
        </xdr:cNvPr>
        <xdr:cNvGrpSpPr/>
      </xdr:nvGrpSpPr>
      <xdr:grpSpPr>
        <a:xfrm>
          <a:off x="9340290" y="15851515"/>
          <a:ext cx="636512" cy="530277"/>
          <a:chOff x="3888846" y="1012094"/>
          <a:chExt cx="547728" cy="525828"/>
        </a:xfrm>
      </xdr:grpSpPr>
      <xdr:sp macro="" textlink="">
        <xdr:nvSpPr>
          <xdr:cNvPr id="113" name="Elipse 112">
            <a:extLst>
              <a:ext uri="{FF2B5EF4-FFF2-40B4-BE49-F238E27FC236}">
                <a16:creationId xmlns:a16="http://schemas.microsoft.com/office/drawing/2014/main" id="{BB7434C2-206E-437B-AC2F-3B0F69B5DA6D}"/>
              </a:ext>
            </a:extLst>
          </xdr:cNvPr>
          <xdr:cNvSpPr/>
        </xdr:nvSpPr>
        <xdr:spPr>
          <a:xfrm>
            <a:off x="3888846" y="1012094"/>
            <a:ext cx="535255" cy="525828"/>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14" name="CaixaDeTexto 113">
            <a:extLst>
              <a:ext uri="{FF2B5EF4-FFF2-40B4-BE49-F238E27FC236}">
                <a16:creationId xmlns:a16="http://schemas.microsoft.com/office/drawing/2014/main" id="{BCE6F85B-CEF0-44DB-A8FC-B8E71796B333}"/>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22</a:t>
            </a:r>
          </a:p>
        </xdr:txBody>
      </xdr:sp>
    </xdr:grpSp>
    <xdr:clientData/>
  </xdr:twoCellAnchor>
  <xdr:twoCellAnchor>
    <xdr:from>
      <xdr:col>5</xdr:col>
      <xdr:colOff>533400</xdr:colOff>
      <xdr:row>93</xdr:row>
      <xdr:rowOff>9607</xdr:rowOff>
    </xdr:from>
    <xdr:to>
      <xdr:col>8</xdr:col>
      <xdr:colOff>333374</xdr:colOff>
      <xdr:row>95</xdr:row>
      <xdr:rowOff>113016</xdr:rowOff>
    </xdr:to>
    <xdr:sp macro="" textlink="">
      <xdr:nvSpPr>
        <xdr:cNvPr id="115" name="CaixaDeTexto 114">
          <a:extLst>
            <a:ext uri="{FF2B5EF4-FFF2-40B4-BE49-F238E27FC236}">
              <a16:creationId xmlns:a16="http://schemas.microsoft.com/office/drawing/2014/main" id="{FBF93D92-0720-4292-8C74-5C9A4FA45844}"/>
            </a:ext>
          </a:extLst>
        </xdr:cNvPr>
        <xdr:cNvSpPr txBox="1"/>
      </xdr:nvSpPr>
      <xdr:spPr>
        <a:xfrm rot="1684887">
          <a:off x="3581400" y="15068632"/>
          <a:ext cx="1628774" cy="427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4B. Configuração de Repositório</a:t>
          </a:r>
          <a:r>
            <a:rPr lang="pt-BR" sz="1000" b="1" baseline="0">
              <a:ln>
                <a:noFill/>
              </a:ln>
              <a:solidFill>
                <a:schemeClr val="dk1"/>
              </a:solidFill>
              <a:latin typeface="+mn-lt"/>
              <a:ea typeface="+mn-ea"/>
              <a:cs typeface="+mn-cs"/>
            </a:rPr>
            <a:t> = 3</a:t>
          </a:r>
          <a:endParaRPr lang="pt-BR" sz="1000" b="1">
            <a:ln>
              <a:noFill/>
            </a:ln>
            <a:solidFill>
              <a:schemeClr val="dk1"/>
            </a:solidFill>
            <a:latin typeface="+mn-lt"/>
            <a:ea typeface="+mn-ea"/>
            <a:cs typeface="+mn-cs"/>
          </a:endParaRPr>
        </a:p>
      </xdr:txBody>
    </xdr:sp>
    <xdr:clientData/>
  </xdr:twoCellAnchor>
  <xdr:twoCellAnchor>
    <xdr:from>
      <xdr:col>10</xdr:col>
      <xdr:colOff>10193</xdr:colOff>
      <xdr:row>96</xdr:row>
      <xdr:rowOff>68491</xdr:rowOff>
    </xdr:from>
    <xdr:to>
      <xdr:col>12</xdr:col>
      <xdr:colOff>270764</xdr:colOff>
      <xdr:row>96</xdr:row>
      <xdr:rowOff>90342</xdr:rowOff>
    </xdr:to>
    <xdr:cxnSp macro="">
      <xdr:nvCxnSpPr>
        <xdr:cNvPr id="116" name="Conector de Seta Reta 115">
          <a:extLst>
            <a:ext uri="{FF2B5EF4-FFF2-40B4-BE49-F238E27FC236}">
              <a16:creationId xmlns:a16="http://schemas.microsoft.com/office/drawing/2014/main" id="{5B23B7CB-817E-4BDE-9073-CA7AEFCDC900}"/>
            </a:ext>
          </a:extLst>
        </xdr:cNvPr>
        <xdr:cNvCxnSpPr/>
      </xdr:nvCxnSpPr>
      <xdr:spPr>
        <a:xfrm>
          <a:off x="6106193" y="15613291"/>
          <a:ext cx="1479771" cy="218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331794</xdr:colOff>
      <xdr:row>95</xdr:row>
      <xdr:rowOff>58518</xdr:rowOff>
    </xdr:from>
    <xdr:to>
      <xdr:col>13</xdr:col>
      <xdr:colOff>362517</xdr:colOff>
      <xdr:row>98</xdr:row>
      <xdr:rowOff>115030</xdr:rowOff>
    </xdr:to>
    <xdr:grpSp>
      <xdr:nvGrpSpPr>
        <xdr:cNvPr id="117" name="Agrupar 116">
          <a:extLst>
            <a:ext uri="{FF2B5EF4-FFF2-40B4-BE49-F238E27FC236}">
              <a16:creationId xmlns:a16="http://schemas.microsoft.com/office/drawing/2014/main" id="{537F26ED-7B02-44B1-93AF-559F3FB6B434}"/>
            </a:ext>
          </a:extLst>
        </xdr:cNvPr>
        <xdr:cNvGrpSpPr/>
      </xdr:nvGrpSpPr>
      <xdr:grpSpPr>
        <a:xfrm>
          <a:off x="11628444" y="15908118"/>
          <a:ext cx="640323" cy="542287"/>
          <a:chOff x="3888846" y="1012094"/>
          <a:chExt cx="547728" cy="525828"/>
        </a:xfrm>
      </xdr:grpSpPr>
      <xdr:sp macro="" textlink="">
        <xdr:nvSpPr>
          <xdr:cNvPr id="118" name="Elipse 117">
            <a:extLst>
              <a:ext uri="{FF2B5EF4-FFF2-40B4-BE49-F238E27FC236}">
                <a16:creationId xmlns:a16="http://schemas.microsoft.com/office/drawing/2014/main" id="{8F51339C-E83C-428A-8EA6-63954B800CFA}"/>
              </a:ext>
            </a:extLst>
          </xdr:cNvPr>
          <xdr:cNvSpPr/>
        </xdr:nvSpPr>
        <xdr:spPr>
          <a:xfrm>
            <a:off x="3888846" y="1012094"/>
            <a:ext cx="535255" cy="525828"/>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19" name="CaixaDeTexto 118">
            <a:extLst>
              <a:ext uri="{FF2B5EF4-FFF2-40B4-BE49-F238E27FC236}">
                <a16:creationId xmlns:a16="http://schemas.microsoft.com/office/drawing/2014/main" id="{F6848FAF-2E03-4242-971D-E5211A436EF5}"/>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400"/>
              <a:t>23</a:t>
            </a:r>
          </a:p>
        </xdr:txBody>
      </xdr:sp>
    </xdr:grpSp>
    <xdr:clientData/>
  </xdr:twoCellAnchor>
  <xdr:twoCellAnchor>
    <xdr:from>
      <xdr:col>9</xdr:col>
      <xdr:colOff>502678</xdr:colOff>
      <xdr:row>96</xdr:row>
      <xdr:rowOff>77722</xdr:rowOff>
    </xdr:from>
    <xdr:to>
      <xdr:col>12</xdr:col>
      <xdr:colOff>293076</xdr:colOff>
      <xdr:row>99</xdr:row>
      <xdr:rowOff>16805</xdr:rowOff>
    </xdr:to>
    <xdr:sp macro="" textlink="">
      <xdr:nvSpPr>
        <xdr:cNvPr id="120" name="CaixaDeTexto 119">
          <a:extLst>
            <a:ext uri="{FF2B5EF4-FFF2-40B4-BE49-F238E27FC236}">
              <a16:creationId xmlns:a16="http://schemas.microsoft.com/office/drawing/2014/main" id="{F47AFD6C-A85B-4C63-97B8-554F54F9969E}"/>
            </a:ext>
          </a:extLst>
        </xdr:cNvPr>
        <xdr:cNvSpPr txBox="1"/>
      </xdr:nvSpPr>
      <xdr:spPr>
        <a:xfrm>
          <a:off x="5989078" y="15622522"/>
          <a:ext cx="1619198" cy="424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a:ln>
                <a:noFill/>
              </a:ln>
              <a:solidFill>
                <a:schemeClr val="dk1"/>
              </a:solidFill>
              <a:latin typeface="+mn-lt"/>
              <a:ea typeface="+mn-ea"/>
              <a:cs typeface="+mn-cs"/>
            </a:rPr>
            <a:t>4C.</a:t>
          </a:r>
          <a:r>
            <a:rPr lang="pt-BR" sz="1000" b="1" baseline="0">
              <a:ln>
                <a:noFill/>
              </a:ln>
              <a:solidFill>
                <a:schemeClr val="dk1"/>
              </a:solidFill>
              <a:latin typeface="+mn-lt"/>
              <a:ea typeface="+mn-ea"/>
              <a:cs typeface="+mn-cs"/>
            </a:rPr>
            <a:t> Configuração do Banco de Dados e Nuvem = 3</a:t>
          </a:r>
          <a:endParaRPr lang="pt-BR" sz="1000" b="1">
            <a:ln>
              <a:noFill/>
            </a:ln>
            <a:solidFill>
              <a:schemeClr val="dk1"/>
            </a:solidFill>
            <a:latin typeface="+mn-lt"/>
            <a:ea typeface="+mn-ea"/>
            <a:cs typeface="+mn-cs"/>
          </a:endParaRPr>
        </a:p>
      </xdr:txBody>
    </xdr:sp>
    <xdr:clientData/>
  </xdr:twoCellAnchor>
  <xdr:twoCellAnchor>
    <xdr:from>
      <xdr:col>19</xdr:col>
      <xdr:colOff>207467</xdr:colOff>
      <xdr:row>94</xdr:row>
      <xdr:rowOff>111502</xdr:rowOff>
    </xdr:from>
    <xdr:to>
      <xdr:col>21</xdr:col>
      <xdr:colOff>231913</xdr:colOff>
      <xdr:row>94</xdr:row>
      <xdr:rowOff>124239</xdr:rowOff>
    </xdr:to>
    <xdr:cxnSp macro="">
      <xdr:nvCxnSpPr>
        <xdr:cNvPr id="121" name="Conector de Seta Reta 120">
          <a:extLst>
            <a:ext uri="{FF2B5EF4-FFF2-40B4-BE49-F238E27FC236}">
              <a16:creationId xmlns:a16="http://schemas.microsoft.com/office/drawing/2014/main" id="{B0E49220-4ABD-4397-A2E7-34B13C9F24D8}"/>
            </a:ext>
          </a:extLst>
        </xdr:cNvPr>
        <xdr:cNvCxnSpPr/>
      </xdr:nvCxnSpPr>
      <xdr:spPr>
        <a:xfrm>
          <a:off x="11789867" y="15332452"/>
          <a:ext cx="1243646" cy="127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93015</xdr:colOff>
      <xdr:row>92</xdr:row>
      <xdr:rowOff>149087</xdr:rowOff>
    </xdr:from>
    <xdr:to>
      <xdr:col>21</xdr:col>
      <xdr:colOff>214707</xdr:colOff>
      <xdr:row>94</xdr:row>
      <xdr:rowOff>53506</xdr:rowOff>
    </xdr:to>
    <xdr:sp macro="" textlink="">
      <xdr:nvSpPr>
        <xdr:cNvPr id="122" name="CaixaDeTexto 121">
          <a:extLst>
            <a:ext uri="{FF2B5EF4-FFF2-40B4-BE49-F238E27FC236}">
              <a16:creationId xmlns:a16="http://schemas.microsoft.com/office/drawing/2014/main" id="{77ED98CC-DBF4-468D-8586-1D7D61DE8D5B}"/>
            </a:ext>
          </a:extLst>
        </xdr:cNvPr>
        <xdr:cNvSpPr txBox="1"/>
      </xdr:nvSpPr>
      <xdr:spPr>
        <a:xfrm>
          <a:off x="11675415" y="15046187"/>
          <a:ext cx="1340892" cy="22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4D. Backend</a:t>
          </a:r>
          <a:r>
            <a:rPr lang="pt-BR" sz="1000" b="1" u="none" baseline="0">
              <a:ln>
                <a:noFill/>
              </a:ln>
              <a:solidFill>
                <a:schemeClr val="dk1"/>
              </a:solidFill>
              <a:latin typeface="+mn-lt"/>
              <a:ea typeface="+mn-ea"/>
              <a:cs typeface="+mn-cs"/>
            </a:rPr>
            <a:t> = 3</a:t>
          </a:r>
          <a:endParaRPr lang="pt-BR" sz="1000" b="1" u="none">
            <a:ln>
              <a:noFill/>
            </a:ln>
            <a:solidFill>
              <a:schemeClr val="dk1"/>
            </a:solidFill>
            <a:latin typeface="+mn-lt"/>
            <a:ea typeface="+mn-ea"/>
            <a:cs typeface="+mn-cs"/>
          </a:endParaRPr>
        </a:p>
      </xdr:txBody>
    </xdr:sp>
    <xdr:clientData/>
  </xdr:twoCellAnchor>
  <xdr:twoCellAnchor>
    <xdr:from>
      <xdr:col>21</xdr:col>
      <xdr:colOff>271345</xdr:colOff>
      <xdr:row>93</xdr:row>
      <xdr:rowOff>42861</xdr:rowOff>
    </xdr:from>
    <xdr:to>
      <xdr:col>22</xdr:col>
      <xdr:colOff>308926</xdr:colOff>
      <xdr:row>96</xdr:row>
      <xdr:rowOff>113279</xdr:rowOff>
    </xdr:to>
    <xdr:grpSp>
      <xdr:nvGrpSpPr>
        <xdr:cNvPr id="123" name="Agrupar 122">
          <a:extLst>
            <a:ext uri="{FF2B5EF4-FFF2-40B4-BE49-F238E27FC236}">
              <a16:creationId xmlns:a16="http://schemas.microsoft.com/office/drawing/2014/main" id="{D365CE36-0C83-485F-A840-89F574F7861F}"/>
            </a:ext>
          </a:extLst>
        </xdr:cNvPr>
        <xdr:cNvGrpSpPr/>
      </xdr:nvGrpSpPr>
      <xdr:grpSpPr>
        <a:xfrm>
          <a:off x="17054395" y="15568611"/>
          <a:ext cx="647181" cy="556193"/>
          <a:chOff x="3885187" y="1015869"/>
          <a:chExt cx="551387" cy="524356"/>
        </a:xfrm>
      </xdr:grpSpPr>
      <xdr:sp macro="" textlink="">
        <xdr:nvSpPr>
          <xdr:cNvPr id="124" name="Elipse 123">
            <a:extLst>
              <a:ext uri="{FF2B5EF4-FFF2-40B4-BE49-F238E27FC236}">
                <a16:creationId xmlns:a16="http://schemas.microsoft.com/office/drawing/2014/main" id="{9CD29CFA-D1EE-4077-B254-6B1C8322717B}"/>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5" name="CaixaDeTexto 124">
            <a:extLst>
              <a:ext uri="{FF2B5EF4-FFF2-40B4-BE49-F238E27FC236}">
                <a16:creationId xmlns:a16="http://schemas.microsoft.com/office/drawing/2014/main" id="{10AEFBAB-59BD-4814-9E09-62A8D0DD4C34}"/>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24</a:t>
            </a:r>
          </a:p>
        </xdr:txBody>
      </xdr:sp>
    </xdr:grpSp>
    <xdr:clientData/>
  </xdr:twoCellAnchor>
  <xdr:twoCellAnchor>
    <xdr:from>
      <xdr:col>22</xdr:col>
      <xdr:colOff>241076</xdr:colOff>
      <xdr:row>89</xdr:row>
      <xdr:rowOff>124558</xdr:rowOff>
    </xdr:from>
    <xdr:to>
      <xdr:col>25</xdr:col>
      <xdr:colOff>161192</xdr:colOff>
      <xdr:row>93</xdr:row>
      <xdr:rowOff>128459</xdr:rowOff>
    </xdr:to>
    <xdr:cxnSp macro="">
      <xdr:nvCxnSpPr>
        <xdr:cNvPr id="126" name="Conector de Seta Reta 125">
          <a:extLst>
            <a:ext uri="{FF2B5EF4-FFF2-40B4-BE49-F238E27FC236}">
              <a16:creationId xmlns:a16="http://schemas.microsoft.com/office/drawing/2014/main" id="{0AA55A24-D650-44B5-A243-A14254353E65}"/>
            </a:ext>
          </a:extLst>
        </xdr:cNvPr>
        <xdr:cNvCxnSpPr/>
      </xdr:nvCxnSpPr>
      <xdr:spPr>
        <a:xfrm flipV="1">
          <a:off x="13652276" y="14535883"/>
          <a:ext cx="1748916" cy="6516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192768</xdr:colOff>
      <xdr:row>87</xdr:row>
      <xdr:rowOff>81872</xdr:rowOff>
    </xdr:from>
    <xdr:to>
      <xdr:col>26</xdr:col>
      <xdr:colOff>230349</xdr:colOff>
      <xdr:row>91</xdr:row>
      <xdr:rowOff>624</xdr:rowOff>
    </xdr:to>
    <xdr:grpSp>
      <xdr:nvGrpSpPr>
        <xdr:cNvPr id="127" name="Agrupar 126">
          <a:extLst>
            <a:ext uri="{FF2B5EF4-FFF2-40B4-BE49-F238E27FC236}">
              <a16:creationId xmlns:a16="http://schemas.microsoft.com/office/drawing/2014/main" id="{EBD0021C-9D30-41AC-BB54-D27AFA91F622}"/>
            </a:ext>
          </a:extLst>
        </xdr:cNvPr>
        <xdr:cNvGrpSpPr/>
      </xdr:nvGrpSpPr>
      <xdr:grpSpPr>
        <a:xfrm>
          <a:off x="19414218" y="14636072"/>
          <a:ext cx="647181" cy="566452"/>
          <a:chOff x="3885187" y="1015869"/>
          <a:chExt cx="551387" cy="524356"/>
        </a:xfrm>
      </xdr:grpSpPr>
      <xdr:sp macro="" textlink="">
        <xdr:nvSpPr>
          <xdr:cNvPr id="128" name="Elipse 127">
            <a:extLst>
              <a:ext uri="{FF2B5EF4-FFF2-40B4-BE49-F238E27FC236}">
                <a16:creationId xmlns:a16="http://schemas.microsoft.com/office/drawing/2014/main" id="{02173E42-9F00-4B6A-B13A-3EB70E896B72}"/>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29" name="CaixaDeTexto 128">
            <a:extLst>
              <a:ext uri="{FF2B5EF4-FFF2-40B4-BE49-F238E27FC236}">
                <a16:creationId xmlns:a16="http://schemas.microsoft.com/office/drawing/2014/main" id="{9691334B-D841-45D7-A6DE-FDA7AFF8D677}"/>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25</a:t>
            </a:r>
          </a:p>
        </xdr:txBody>
      </xdr:sp>
    </xdr:grpSp>
    <xdr:clientData/>
  </xdr:twoCellAnchor>
  <xdr:twoCellAnchor>
    <xdr:from>
      <xdr:col>22</xdr:col>
      <xdr:colOff>386011</xdr:colOff>
      <xdr:row>89</xdr:row>
      <xdr:rowOff>124704</xdr:rowOff>
    </xdr:from>
    <xdr:to>
      <xdr:col>24</xdr:col>
      <xdr:colOff>415712</xdr:colOff>
      <xdr:row>92</xdr:row>
      <xdr:rowOff>97750</xdr:rowOff>
    </xdr:to>
    <xdr:sp macro="" textlink="">
      <xdr:nvSpPr>
        <xdr:cNvPr id="130" name="CaixaDeTexto 129">
          <a:extLst>
            <a:ext uri="{FF2B5EF4-FFF2-40B4-BE49-F238E27FC236}">
              <a16:creationId xmlns:a16="http://schemas.microsoft.com/office/drawing/2014/main" id="{0E7B9B6B-FEE8-4A1B-B0D0-A5ED97185B1E}"/>
            </a:ext>
          </a:extLst>
        </xdr:cNvPr>
        <xdr:cNvSpPr txBox="1"/>
      </xdr:nvSpPr>
      <xdr:spPr>
        <a:xfrm rot="20448894">
          <a:off x="13797211" y="14536029"/>
          <a:ext cx="1248901" cy="458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4E.</a:t>
          </a:r>
          <a:r>
            <a:rPr lang="pt-BR" sz="1000" b="1" u="none" baseline="0">
              <a:ln>
                <a:noFill/>
              </a:ln>
              <a:solidFill>
                <a:schemeClr val="dk1"/>
              </a:solidFill>
              <a:latin typeface="+mn-lt"/>
              <a:ea typeface="+mn-ea"/>
              <a:cs typeface="+mn-cs"/>
            </a:rPr>
            <a:t> Implementação do ETL = 3</a:t>
          </a:r>
          <a:endParaRPr lang="pt-BR" sz="1000" b="1" u="none">
            <a:ln>
              <a:noFill/>
            </a:ln>
            <a:solidFill>
              <a:schemeClr val="dk1"/>
            </a:solidFill>
            <a:latin typeface="+mn-lt"/>
            <a:ea typeface="+mn-ea"/>
            <a:cs typeface="+mn-cs"/>
          </a:endParaRPr>
        </a:p>
      </xdr:txBody>
    </xdr:sp>
    <xdr:clientData/>
  </xdr:twoCellAnchor>
  <xdr:twoCellAnchor>
    <xdr:from>
      <xdr:col>22</xdr:col>
      <xdr:colOff>293772</xdr:colOff>
      <xdr:row>94</xdr:row>
      <xdr:rowOff>135273</xdr:rowOff>
    </xdr:from>
    <xdr:to>
      <xdr:col>25</xdr:col>
      <xdr:colOff>240196</xdr:colOff>
      <xdr:row>94</xdr:row>
      <xdr:rowOff>165652</xdr:rowOff>
    </xdr:to>
    <xdr:cxnSp macro="">
      <xdr:nvCxnSpPr>
        <xdr:cNvPr id="131" name="Conector de Seta Reta 130">
          <a:extLst>
            <a:ext uri="{FF2B5EF4-FFF2-40B4-BE49-F238E27FC236}">
              <a16:creationId xmlns:a16="http://schemas.microsoft.com/office/drawing/2014/main" id="{26816791-163C-47DD-8B03-BE14DA5C4D9C}"/>
            </a:ext>
          </a:extLst>
        </xdr:cNvPr>
        <xdr:cNvCxnSpPr/>
      </xdr:nvCxnSpPr>
      <xdr:spPr>
        <a:xfrm>
          <a:off x="13704972" y="15356223"/>
          <a:ext cx="1775224" cy="303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170336</xdr:colOff>
      <xdr:row>96</xdr:row>
      <xdr:rowOff>67327</xdr:rowOff>
    </xdr:from>
    <xdr:to>
      <xdr:col>25</xdr:col>
      <xdr:colOff>25486</xdr:colOff>
      <xdr:row>100</xdr:row>
      <xdr:rowOff>61164</xdr:rowOff>
    </xdr:to>
    <xdr:cxnSp macro="">
      <xdr:nvCxnSpPr>
        <xdr:cNvPr id="132" name="Conector de Seta Reta 131">
          <a:extLst>
            <a:ext uri="{FF2B5EF4-FFF2-40B4-BE49-F238E27FC236}">
              <a16:creationId xmlns:a16="http://schemas.microsoft.com/office/drawing/2014/main" id="{9D987926-381C-487E-8246-3CAE4D9552C0}"/>
            </a:ext>
          </a:extLst>
        </xdr:cNvPr>
        <xdr:cNvCxnSpPr/>
      </xdr:nvCxnSpPr>
      <xdr:spPr>
        <a:xfrm>
          <a:off x="13581536" y="15612127"/>
          <a:ext cx="1683950" cy="6415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283686</xdr:colOff>
      <xdr:row>93</xdr:row>
      <xdr:rowOff>17019</xdr:rowOff>
    </xdr:from>
    <xdr:to>
      <xdr:col>26</xdr:col>
      <xdr:colOff>321267</xdr:colOff>
      <xdr:row>96</xdr:row>
      <xdr:rowOff>98867</xdr:rowOff>
    </xdr:to>
    <xdr:grpSp>
      <xdr:nvGrpSpPr>
        <xdr:cNvPr id="133" name="Agrupar 132">
          <a:extLst>
            <a:ext uri="{FF2B5EF4-FFF2-40B4-BE49-F238E27FC236}">
              <a16:creationId xmlns:a16="http://schemas.microsoft.com/office/drawing/2014/main" id="{D0D3BE55-A276-4C43-B2E3-76CD673708AD}"/>
            </a:ext>
          </a:extLst>
        </xdr:cNvPr>
        <xdr:cNvGrpSpPr/>
      </xdr:nvGrpSpPr>
      <xdr:grpSpPr>
        <a:xfrm>
          <a:off x="19505136" y="15542769"/>
          <a:ext cx="647181" cy="567623"/>
          <a:chOff x="3885187" y="1015869"/>
          <a:chExt cx="551387" cy="524356"/>
        </a:xfrm>
      </xdr:grpSpPr>
      <xdr:sp macro="" textlink="">
        <xdr:nvSpPr>
          <xdr:cNvPr id="134" name="Elipse 133">
            <a:extLst>
              <a:ext uri="{FF2B5EF4-FFF2-40B4-BE49-F238E27FC236}">
                <a16:creationId xmlns:a16="http://schemas.microsoft.com/office/drawing/2014/main" id="{2B5005FD-C05E-416C-A494-F2AEA7B22A66}"/>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35" name="CaixaDeTexto 134">
            <a:extLst>
              <a:ext uri="{FF2B5EF4-FFF2-40B4-BE49-F238E27FC236}">
                <a16:creationId xmlns:a16="http://schemas.microsoft.com/office/drawing/2014/main" id="{30FF0CBB-48AE-4174-8AF7-E3C79B203DC6}"/>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26</a:t>
            </a:r>
          </a:p>
        </xdr:txBody>
      </xdr:sp>
    </xdr:grpSp>
    <xdr:clientData/>
  </xdr:twoCellAnchor>
  <xdr:twoCellAnchor>
    <xdr:from>
      <xdr:col>25</xdr:col>
      <xdr:colOff>179325</xdr:colOff>
      <xdr:row>98</xdr:row>
      <xdr:rowOff>78310</xdr:rowOff>
    </xdr:from>
    <xdr:to>
      <xdr:col>26</xdr:col>
      <xdr:colOff>216906</xdr:colOff>
      <xdr:row>101</xdr:row>
      <xdr:rowOff>156349</xdr:rowOff>
    </xdr:to>
    <xdr:grpSp>
      <xdr:nvGrpSpPr>
        <xdr:cNvPr id="136" name="Agrupar 135">
          <a:extLst>
            <a:ext uri="{FF2B5EF4-FFF2-40B4-BE49-F238E27FC236}">
              <a16:creationId xmlns:a16="http://schemas.microsoft.com/office/drawing/2014/main" id="{1D53F9AC-9602-4919-B844-790DEF745551}"/>
            </a:ext>
          </a:extLst>
        </xdr:cNvPr>
        <xdr:cNvGrpSpPr/>
      </xdr:nvGrpSpPr>
      <xdr:grpSpPr>
        <a:xfrm>
          <a:off x="19400775" y="16413685"/>
          <a:ext cx="647181" cy="563814"/>
          <a:chOff x="3885187" y="1015869"/>
          <a:chExt cx="551387" cy="524356"/>
        </a:xfrm>
      </xdr:grpSpPr>
      <xdr:sp macro="" textlink="">
        <xdr:nvSpPr>
          <xdr:cNvPr id="137" name="Elipse 136">
            <a:extLst>
              <a:ext uri="{FF2B5EF4-FFF2-40B4-BE49-F238E27FC236}">
                <a16:creationId xmlns:a16="http://schemas.microsoft.com/office/drawing/2014/main" id="{0C113C79-3398-49A1-A262-9312DC751F20}"/>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38" name="CaixaDeTexto 137">
            <a:extLst>
              <a:ext uri="{FF2B5EF4-FFF2-40B4-BE49-F238E27FC236}">
                <a16:creationId xmlns:a16="http://schemas.microsoft.com/office/drawing/2014/main" id="{84BB05E6-5C7C-47AF-8DD6-3C99E0C3DE76}"/>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27</a:t>
            </a:r>
          </a:p>
        </xdr:txBody>
      </xdr:sp>
    </xdr:grpSp>
    <xdr:clientData/>
  </xdr:twoCellAnchor>
  <xdr:twoCellAnchor>
    <xdr:from>
      <xdr:col>23</xdr:col>
      <xdr:colOff>69873</xdr:colOff>
      <xdr:row>92</xdr:row>
      <xdr:rowOff>113033</xdr:rowOff>
    </xdr:from>
    <xdr:to>
      <xdr:col>25</xdr:col>
      <xdr:colOff>222045</xdr:colOff>
      <xdr:row>95</xdr:row>
      <xdr:rowOff>87923</xdr:rowOff>
    </xdr:to>
    <xdr:sp macro="" textlink="">
      <xdr:nvSpPr>
        <xdr:cNvPr id="139" name="CaixaDeTexto 138">
          <a:extLst>
            <a:ext uri="{FF2B5EF4-FFF2-40B4-BE49-F238E27FC236}">
              <a16:creationId xmlns:a16="http://schemas.microsoft.com/office/drawing/2014/main" id="{64F03F84-E706-4732-9236-221B284FCB95}"/>
            </a:ext>
          </a:extLst>
        </xdr:cNvPr>
        <xdr:cNvSpPr txBox="1"/>
      </xdr:nvSpPr>
      <xdr:spPr>
        <a:xfrm>
          <a:off x="14090673" y="15010133"/>
          <a:ext cx="1371372" cy="460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4F, Cricação de APIs de Integraão</a:t>
          </a:r>
          <a:r>
            <a:rPr lang="pt-BR" sz="1000" b="1" u="none" baseline="0">
              <a:ln>
                <a:noFill/>
              </a:ln>
              <a:solidFill>
                <a:schemeClr val="dk1"/>
              </a:solidFill>
              <a:latin typeface="+mn-lt"/>
              <a:ea typeface="+mn-ea"/>
              <a:cs typeface="+mn-cs"/>
            </a:rPr>
            <a:t> = 3</a:t>
          </a:r>
          <a:endParaRPr lang="pt-BR" sz="1000" b="1" u="none">
            <a:ln>
              <a:noFill/>
            </a:ln>
            <a:solidFill>
              <a:schemeClr val="dk1"/>
            </a:solidFill>
            <a:latin typeface="+mn-lt"/>
            <a:ea typeface="+mn-ea"/>
            <a:cs typeface="+mn-cs"/>
          </a:endParaRPr>
        </a:p>
      </xdr:txBody>
    </xdr:sp>
    <xdr:clientData/>
  </xdr:twoCellAnchor>
  <xdr:twoCellAnchor>
    <xdr:from>
      <xdr:col>22</xdr:col>
      <xdr:colOff>528451</xdr:colOff>
      <xdr:row>96</xdr:row>
      <xdr:rowOff>59883</xdr:rowOff>
    </xdr:from>
    <xdr:to>
      <xdr:col>25</xdr:col>
      <xdr:colOff>42945</xdr:colOff>
      <xdr:row>99</xdr:row>
      <xdr:rowOff>19352</xdr:rowOff>
    </xdr:to>
    <xdr:sp macro="" textlink="">
      <xdr:nvSpPr>
        <xdr:cNvPr id="140" name="CaixaDeTexto 139">
          <a:extLst>
            <a:ext uri="{FF2B5EF4-FFF2-40B4-BE49-F238E27FC236}">
              <a16:creationId xmlns:a16="http://schemas.microsoft.com/office/drawing/2014/main" id="{378D3222-7C6D-4D84-B4C1-88F1749CF931}"/>
            </a:ext>
          </a:extLst>
        </xdr:cNvPr>
        <xdr:cNvSpPr txBox="1"/>
      </xdr:nvSpPr>
      <xdr:spPr>
        <a:xfrm rot="1349956">
          <a:off x="13939651" y="15604683"/>
          <a:ext cx="1343294" cy="445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4G. Autenticação e perfis de acesso = 3</a:t>
          </a:r>
        </a:p>
      </xdr:txBody>
    </xdr:sp>
    <xdr:clientData/>
  </xdr:twoCellAnchor>
  <xdr:twoCellAnchor>
    <xdr:from>
      <xdr:col>26</xdr:col>
      <xdr:colOff>238062</xdr:colOff>
      <xdr:row>100</xdr:row>
      <xdr:rowOff>26216</xdr:rowOff>
    </xdr:from>
    <xdr:to>
      <xdr:col>28</xdr:col>
      <xdr:colOff>471881</xdr:colOff>
      <xdr:row>100</xdr:row>
      <xdr:rowOff>29923</xdr:rowOff>
    </xdr:to>
    <xdr:cxnSp macro="">
      <xdr:nvCxnSpPr>
        <xdr:cNvPr id="141" name="Conector de Seta Reta 140">
          <a:extLst>
            <a:ext uri="{FF2B5EF4-FFF2-40B4-BE49-F238E27FC236}">
              <a16:creationId xmlns:a16="http://schemas.microsoft.com/office/drawing/2014/main" id="{EA3ED5EC-769C-484F-B463-D095BA515DF7}"/>
            </a:ext>
          </a:extLst>
        </xdr:cNvPr>
        <xdr:cNvCxnSpPr/>
      </xdr:nvCxnSpPr>
      <xdr:spPr>
        <a:xfrm flipV="1">
          <a:off x="16087662" y="16218716"/>
          <a:ext cx="1453019" cy="370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509519</xdr:colOff>
      <xdr:row>98</xdr:row>
      <xdr:rowOff>77227</xdr:rowOff>
    </xdr:from>
    <xdr:to>
      <xdr:col>29</xdr:col>
      <xdr:colOff>545196</xdr:colOff>
      <xdr:row>101</xdr:row>
      <xdr:rowOff>149551</xdr:rowOff>
    </xdr:to>
    <xdr:grpSp>
      <xdr:nvGrpSpPr>
        <xdr:cNvPr id="142" name="Agrupar 141">
          <a:extLst>
            <a:ext uri="{FF2B5EF4-FFF2-40B4-BE49-F238E27FC236}">
              <a16:creationId xmlns:a16="http://schemas.microsoft.com/office/drawing/2014/main" id="{8F5290B5-7670-4F78-90F7-21C70FB9045F}"/>
            </a:ext>
          </a:extLst>
        </xdr:cNvPr>
        <xdr:cNvGrpSpPr/>
      </xdr:nvGrpSpPr>
      <xdr:grpSpPr>
        <a:xfrm>
          <a:off x="21559769" y="16412602"/>
          <a:ext cx="645277" cy="558099"/>
          <a:chOff x="3885187" y="1015869"/>
          <a:chExt cx="551387" cy="524356"/>
        </a:xfrm>
      </xdr:grpSpPr>
      <xdr:sp macro="" textlink="">
        <xdr:nvSpPr>
          <xdr:cNvPr id="143" name="Elipse 142">
            <a:extLst>
              <a:ext uri="{FF2B5EF4-FFF2-40B4-BE49-F238E27FC236}">
                <a16:creationId xmlns:a16="http://schemas.microsoft.com/office/drawing/2014/main" id="{5AA3CA78-1546-4666-8E53-4C836E30D075}"/>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44" name="CaixaDeTexto 143">
            <a:extLst>
              <a:ext uri="{FF2B5EF4-FFF2-40B4-BE49-F238E27FC236}">
                <a16:creationId xmlns:a16="http://schemas.microsoft.com/office/drawing/2014/main" id="{4A3F00EF-47DF-4415-9C73-BC452852EA3C}"/>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28</a:t>
            </a:r>
          </a:p>
        </xdr:txBody>
      </xdr:sp>
    </xdr:grpSp>
    <xdr:clientData/>
  </xdr:twoCellAnchor>
  <xdr:twoCellAnchor>
    <xdr:from>
      <xdr:col>5</xdr:col>
      <xdr:colOff>384750</xdr:colOff>
      <xdr:row>91</xdr:row>
      <xdr:rowOff>68466</xdr:rowOff>
    </xdr:from>
    <xdr:to>
      <xdr:col>25</xdr:col>
      <xdr:colOff>177420</xdr:colOff>
      <xdr:row>100</xdr:row>
      <xdr:rowOff>84348</xdr:rowOff>
    </xdr:to>
    <xdr:cxnSp macro="">
      <xdr:nvCxnSpPr>
        <xdr:cNvPr id="145" name="Conector: Angulado 144">
          <a:extLst>
            <a:ext uri="{FF2B5EF4-FFF2-40B4-BE49-F238E27FC236}">
              <a16:creationId xmlns:a16="http://schemas.microsoft.com/office/drawing/2014/main" id="{D8E4F7D5-148C-4207-9BD3-FC75EA74ADC2}"/>
            </a:ext>
          </a:extLst>
        </xdr:cNvPr>
        <xdr:cNvCxnSpPr/>
      </xdr:nvCxnSpPr>
      <xdr:spPr>
        <a:xfrm rot="16200000" flipH="1">
          <a:off x="8688481" y="9547910"/>
          <a:ext cx="1473207" cy="11984670"/>
        </a:xfrm>
        <a:prstGeom prst="bentConnector2">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26</xdr:col>
      <xdr:colOff>268094</xdr:colOff>
      <xdr:row>98</xdr:row>
      <xdr:rowOff>70865</xdr:rowOff>
    </xdr:from>
    <xdr:to>
      <xdr:col>28</xdr:col>
      <xdr:colOff>394194</xdr:colOff>
      <xdr:row>100</xdr:row>
      <xdr:rowOff>7328</xdr:rowOff>
    </xdr:to>
    <xdr:sp macro="" textlink="">
      <xdr:nvSpPr>
        <xdr:cNvPr id="146" name="CaixaDeTexto 145">
          <a:extLst>
            <a:ext uri="{FF2B5EF4-FFF2-40B4-BE49-F238E27FC236}">
              <a16:creationId xmlns:a16="http://schemas.microsoft.com/office/drawing/2014/main" id="{80A98D0F-0A5F-41B3-BBAC-1B6B2C922600}"/>
            </a:ext>
          </a:extLst>
        </xdr:cNvPr>
        <xdr:cNvSpPr txBox="1"/>
      </xdr:nvSpPr>
      <xdr:spPr>
        <a:xfrm>
          <a:off x="16117694" y="15939515"/>
          <a:ext cx="1345300" cy="260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4H.</a:t>
          </a:r>
          <a:r>
            <a:rPr lang="pt-BR" sz="1000" b="1" u="none" baseline="0">
              <a:ln>
                <a:noFill/>
              </a:ln>
              <a:solidFill>
                <a:schemeClr val="dk1"/>
              </a:solidFill>
              <a:latin typeface="+mn-lt"/>
              <a:ea typeface="+mn-ea"/>
              <a:cs typeface="+mn-cs"/>
            </a:rPr>
            <a:t> Frontend = 3</a:t>
          </a:r>
          <a:endParaRPr lang="pt-BR" sz="1000" b="1" u="none">
            <a:ln>
              <a:noFill/>
            </a:ln>
            <a:solidFill>
              <a:schemeClr val="dk1"/>
            </a:solidFill>
            <a:latin typeface="+mn-lt"/>
            <a:ea typeface="+mn-ea"/>
            <a:cs typeface="+mn-cs"/>
          </a:endParaRPr>
        </a:p>
      </xdr:txBody>
    </xdr:sp>
    <xdr:clientData/>
  </xdr:twoCellAnchor>
  <xdr:twoCellAnchor>
    <xdr:from>
      <xdr:col>29</xdr:col>
      <xdr:colOff>554480</xdr:colOff>
      <xdr:row>100</xdr:row>
      <xdr:rowOff>13048</xdr:rowOff>
    </xdr:from>
    <xdr:to>
      <xdr:col>31</xdr:col>
      <xdr:colOff>378390</xdr:colOff>
      <xdr:row>100</xdr:row>
      <xdr:rowOff>19500</xdr:rowOff>
    </xdr:to>
    <xdr:cxnSp macro="">
      <xdr:nvCxnSpPr>
        <xdr:cNvPr id="147" name="Conector de Seta Reta 146">
          <a:extLst>
            <a:ext uri="{FF2B5EF4-FFF2-40B4-BE49-F238E27FC236}">
              <a16:creationId xmlns:a16="http://schemas.microsoft.com/office/drawing/2014/main" id="{8D6FE51D-C1C7-47DF-93FA-4632B8E5B273}"/>
            </a:ext>
          </a:extLst>
        </xdr:cNvPr>
        <xdr:cNvCxnSpPr/>
      </xdr:nvCxnSpPr>
      <xdr:spPr>
        <a:xfrm flipV="1">
          <a:off x="18232880" y="16205548"/>
          <a:ext cx="1043110" cy="64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459252</xdr:colOff>
      <xdr:row>97</xdr:row>
      <xdr:rowOff>135368</xdr:rowOff>
    </xdr:from>
    <xdr:to>
      <xdr:col>31</xdr:col>
      <xdr:colOff>354199</xdr:colOff>
      <xdr:row>100</xdr:row>
      <xdr:rowOff>96742</xdr:rowOff>
    </xdr:to>
    <xdr:sp macro="" textlink="">
      <xdr:nvSpPr>
        <xdr:cNvPr id="148" name="CaixaDeTexto 147">
          <a:extLst>
            <a:ext uri="{FF2B5EF4-FFF2-40B4-BE49-F238E27FC236}">
              <a16:creationId xmlns:a16="http://schemas.microsoft.com/office/drawing/2014/main" id="{F1B0DD8F-D1F8-400B-98AF-989300C8B267}"/>
            </a:ext>
          </a:extLst>
        </xdr:cNvPr>
        <xdr:cNvSpPr txBox="1"/>
      </xdr:nvSpPr>
      <xdr:spPr>
        <a:xfrm>
          <a:off x="18137652" y="15842093"/>
          <a:ext cx="1114147"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4I. Dashboard Responsivo</a:t>
          </a:r>
          <a:r>
            <a:rPr lang="pt-BR" sz="1000" b="1" u="none" baseline="0">
              <a:ln>
                <a:noFill/>
              </a:ln>
              <a:solidFill>
                <a:schemeClr val="dk1"/>
              </a:solidFill>
              <a:latin typeface="+mn-lt"/>
              <a:ea typeface="+mn-ea"/>
              <a:cs typeface="+mn-cs"/>
            </a:rPr>
            <a:t> = 3</a:t>
          </a:r>
          <a:endParaRPr lang="pt-BR" sz="1000" b="1" u="none">
            <a:ln>
              <a:noFill/>
            </a:ln>
            <a:solidFill>
              <a:schemeClr val="dk1"/>
            </a:solidFill>
            <a:latin typeface="+mn-lt"/>
            <a:ea typeface="+mn-ea"/>
            <a:cs typeface="+mn-cs"/>
          </a:endParaRPr>
        </a:p>
      </xdr:txBody>
    </xdr:sp>
    <xdr:clientData/>
  </xdr:twoCellAnchor>
  <xdr:twoCellAnchor>
    <xdr:from>
      <xdr:col>31</xdr:col>
      <xdr:colOff>423299</xdr:colOff>
      <xdr:row>98</xdr:row>
      <xdr:rowOff>53920</xdr:rowOff>
    </xdr:from>
    <xdr:to>
      <xdr:col>32</xdr:col>
      <xdr:colOff>470408</xdr:colOff>
      <xdr:row>101</xdr:row>
      <xdr:rowOff>133864</xdr:rowOff>
    </xdr:to>
    <xdr:grpSp>
      <xdr:nvGrpSpPr>
        <xdr:cNvPr id="149" name="Agrupar 148">
          <a:extLst>
            <a:ext uri="{FF2B5EF4-FFF2-40B4-BE49-F238E27FC236}">
              <a16:creationId xmlns:a16="http://schemas.microsoft.com/office/drawing/2014/main" id="{5B10242E-59B1-4FB8-86EF-49E692AFCAC5}"/>
            </a:ext>
          </a:extLst>
        </xdr:cNvPr>
        <xdr:cNvGrpSpPr/>
      </xdr:nvGrpSpPr>
      <xdr:grpSpPr>
        <a:xfrm>
          <a:off x="23302349" y="16389295"/>
          <a:ext cx="656709" cy="565719"/>
          <a:chOff x="3885187" y="1015869"/>
          <a:chExt cx="551387" cy="524356"/>
        </a:xfrm>
      </xdr:grpSpPr>
      <xdr:sp macro="" textlink="">
        <xdr:nvSpPr>
          <xdr:cNvPr id="150" name="Elipse 149">
            <a:extLst>
              <a:ext uri="{FF2B5EF4-FFF2-40B4-BE49-F238E27FC236}">
                <a16:creationId xmlns:a16="http://schemas.microsoft.com/office/drawing/2014/main" id="{23089FFD-7648-4767-97D1-A7054F84304D}"/>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51" name="CaixaDeTexto 150">
            <a:extLst>
              <a:ext uri="{FF2B5EF4-FFF2-40B4-BE49-F238E27FC236}">
                <a16:creationId xmlns:a16="http://schemas.microsoft.com/office/drawing/2014/main" id="{D23B32F7-3502-4090-B7DC-70DF3F91CFF1}"/>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29</a:t>
            </a:r>
          </a:p>
        </xdr:txBody>
      </xdr:sp>
    </xdr:grpSp>
    <xdr:clientData/>
  </xdr:twoCellAnchor>
  <xdr:twoCellAnchor>
    <xdr:from>
      <xdr:col>32</xdr:col>
      <xdr:colOff>466741</xdr:colOff>
      <xdr:row>100</xdr:row>
      <xdr:rowOff>0</xdr:rowOff>
    </xdr:from>
    <xdr:to>
      <xdr:col>34</xdr:col>
      <xdr:colOff>356104</xdr:colOff>
      <xdr:row>100</xdr:row>
      <xdr:rowOff>15626</xdr:rowOff>
    </xdr:to>
    <xdr:cxnSp macro="">
      <xdr:nvCxnSpPr>
        <xdr:cNvPr id="152" name="Conector de Seta Reta 151">
          <a:extLst>
            <a:ext uri="{FF2B5EF4-FFF2-40B4-BE49-F238E27FC236}">
              <a16:creationId xmlns:a16="http://schemas.microsoft.com/office/drawing/2014/main" id="{8943D4DD-AFDE-42CC-9DB1-474ABE50D26E}"/>
            </a:ext>
          </a:extLst>
        </xdr:cNvPr>
        <xdr:cNvCxnSpPr/>
      </xdr:nvCxnSpPr>
      <xdr:spPr>
        <a:xfrm flipV="1">
          <a:off x="19973941" y="16192500"/>
          <a:ext cx="1108563" cy="156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352693</xdr:colOff>
      <xdr:row>97</xdr:row>
      <xdr:rowOff>108454</xdr:rowOff>
    </xdr:from>
    <xdr:to>
      <xdr:col>34</xdr:col>
      <xdr:colOff>367248</xdr:colOff>
      <xdr:row>100</xdr:row>
      <xdr:rowOff>81258</xdr:rowOff>
    </xdr:to>
    <xdr:sp macro="" textlink="">
      <xdr:nvSpPr>
        <xdr:cNvPr id="153" name="CaixaDeTexto 152">
          <a:extLst>
            <a:ext uri="{FF2B5EF4-FFF2-40B4-BE49-F238E27FC236}">
              <a16:creationId xmlns:a16="http://schemas.microsoft.com/office/drawing/2014/main" id="{3D82E7A4-0CFD-4C72-BC32-A21986618FF6}"/>
            </a:ext>
          </a:extLst>
        </xdr:cNvPr>
        <xdr:cNvSpPr txBox="1"/>
      </xdr:nvSpPr>
      <xdr:spPr>
        <a:xfrm>
          <a:off x="19859893" y="15815179"/>
          <a:ext cx="1233755" cy="458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4J. KPIs</a:t>
          </a:r>
          <a:r>
            <a:rPr lang="pt-BR" sz="1000" b="1" u="none" baseline="0">
              <a:ln>
                <a:noFill/>
              </a:ln>
              <a:solidFill>
                <a:schemeClr val="dk1"/>
              </a:solidFill>
              <a:latin typeface="+mn-lt"/>
              <a:ea typeface="+mn-ea"/>
              <a:cs typeface="+mn-cs"/>
            </a:rPr>
            <a:t> e Gráficos Interativos = 3</a:t>
          </a:r>
          <a:endParaRPr lang="pt-BR" sz="1000" b="1" u="none">
            <a:ln>
              <a:noFill/>
            </a:ln>
            <a:solidFill>
              <a:schemeClr val="dk1"/>
            </a:solidFill>
            <a:latin typeface="+mn-lt"/>
            <a:ea typeface="+mn-ea"/>
            <a:cs typeface="+mn-cs"/>
          </a:endParaRPr>
        </a:p>
      </xdr:txBody>
    </xdr:sp>
    <xdr:clientData/>
  </xdr:twoCellAnchor>
  <xdr:twoCellAnchor>
    <xdr:from>
      <xdr:col>34</xdr:col>
      <xdr:colOff>427676</xdr:colOff>
      <xdr:row>97</xdr:row>
      <xdr:rowOff>157775</xdr:rowOff>
    </xdr:from>
    <xdr:to>
      <xdr:col>35</xdr:col>
      <xdr:colOff>470973</xdr:colOff>
      <xdr:row>101</xdr:row>
      <xdr:rowOff>73811</xdr:rowOff>
    </xdr:to>
    <xdr:grpSp>
      <xdr:nvGrpSpPr>
        <xdr:cNvPr id="154" name="Agrupar 153">
          <a:extLst>
            <a:ext uri="{FF2B5EF4-FFF2-40B4-BE49-F238E27FC236}">
              <a16:creationId xmlns:a16="http://schemas.microsoft.com/office/drawing/2014/main" id="{5D0CDE84-A894-4E9A-8BFE-901C3125A316}"/>
            </a:ext>
          </a:extLst>
        </xdr:cNvPr>
        <xdr:cNvGrpSpPr/>
      </xdr:nvGrpSpPr>
      <xdr:grpSpPr>
        <a:xfrm>
          <a:off x="25135526" y="16331225"/>
          <a:ext cx="652897" cy="563736"/>
          <a:chOff x="3885187" y="1015869"/>
          <a:chExt cx="551387" cy="524356"/>
        </a:xfrm>
      </xdr:grpSpPr>
      <xdr:sp macro="" textlink="">
        <xdr:nvSpPr>
          <xdr:cNvPr id="155" name="Elipse 154">
            <a:extLst>
              <a:ext uri="{FF2B5EF4-FFF2-40B4-BE49-F238E27FC236}">
                <a16:creationId xmlns:a16="http://schemas.microsoft.com/office/drawing/2014/main" id="{ABD6E15E-E39F-439C-868B-17CA3859B668}"/>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56" name="CaixaDeTexto 155">
            <a:extLst>
              <a:ext uri="{FF2B5EF4-FFF2-40B4-BE49-F238E27FC236}">
                <a16:creationId xmlns:a16="http://schemas.microsoft.com/office/drawing/2014/main" id="{BC6819DD-8578-4729-9FD4-2D5C9E922D87}"/>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30</a:t>
            </a:r>
          </a:p>
        </xdr:txBody>
      </xdr:sp>
    </xdr:grpSp>
    <xdr:clientData/>
  </xdr:twoCellAnchor>
  <xdr:twoCellAnchor>
    <xdr:from>
      <xdr:col>35</xdr:col>
      <xdr:colOff>444638</xdr:colOff>
      <xdr:row>99</xdr:row>
      <xdr:rowOff>150299</xdr:rowOff>
    </xdr:from>
    <xdr:to>
      <xdr:col>37</xdr:col>
      <xdr:colOff>361765</xdr:colOff>
      <xdr:row>99</xdr:row>
      <xdr:rowOff>150299</xdr:rowOff>
    </xdr:to>
    <xdr:cxnSp macro="">
      <xdr:nvCxnSpPr>
        <xdr:cNvPr id="157" name="Conector de Seta Reta 156">
          <a:extLst>
            <a:ext uri="{FF2B5EF4-FFF2-40B4-BE49-F238E27FC236}">
              <a16:creationId xmlns:a16="http://schemas.microsoft.com/office/drawing/2014/main" id="{FE0E116A-162C-474A-B578-A82CE6C097F6}"/>
            </a:ext>
          </a:extLst>
        </xdr:cNvPr>
        <xdr:cNvCxnSpPr/>
      </xdr:nvCxnSpPr>
      <xdr:spPr>
        <a:xfrm flipV="1">
          <a:off x="21780638" y="16180874"/>
          <a:ext cx="113632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452612</xdr:colOff>
      <xdr:row>98</xdr:row>
      <xdr:rowOff>43417</xdr:rowOff>
    </xdr:from>
    <xdr:to>
      <xdr:col>38</xdr:col>
      <xdr:colOff>504163</xdr:colOff>
      <xdr:row>101</xdr:row>
      <xdr:rowOff>123361</xdr:rowOff>
    </xdr:to>
    <xdr:grpSp>
      <xdr:nvGrpSpPr>
        <xdr:cNvPr id="158" name="Agrupar 157">
          <a:extLst>
            <a:ext uri="{FF2B5EF4-FFF2-40B4-BE49-F238E27FC236}">
              <a16:creationId xmlns:a16="http://schemas.microsoft.com/office/drawing/2014/main" id="{F4C810E9-B3D2-48AB-9B47-BAB4847AAC81}"/>
            </a:ext>
          </a:extLst>
        </xdr:cNvPr>
        <xdr:cNvGrpSpPr/>
      </xdr:nvGrpSpPr>
      <xdr:grpSpPr>
        <a:xfrm>
          <a:off x="26989262" y="16378792"/>
          <a:ext cx="661151" cy="565719"/>
          <a:chOff x="3885187" y="1015869"/>
          <a:chExt cx="548129" cy="524356"/>
        </a:xfrm>
      </xdr:grpSpPr>
      <xdr:sp macro="" textlink="">
        <xdr:nvSpPr>
          <xdr:cNvPr id="159" name="Elipse 158">
            <a:extLst>
              <a:ext uri="{FF2B5EF4-FFF2-40B4-BE49-F238E27FC236}">
                <a16:creationId xmlns:a16="http://schemas.microsoft.com/office/drawing/2014/main" id="{A7BEF12D-6D6D-4759-B59B-5A6138CFB0F0}"/>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60" name="CaixaDeTexto 159">
            <a:extLst>
              <a:ext uri="{FF2B5EF4-FFF2-40B4-BE49-F238E27FC236}">
                <a16:creationId xmlns:a16="http://schemas.microsoft.com/office/drawing/2014/main" id="{1A096ED7-C91C-4783-91BF-5B895B21EDBC}"/>
              </a:ext>
            </a:extLst>
          </xdr:cNvPr>
          <xdr:cNvSpPr txBox="1"/>
        </xdr:nvSpPr>
        <xdr:spPr>
          <a:xfrm>
            <a:off x="4003424" y="1111050"/>
            <a:ext cx="429892" cy="316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31</a:t>
            </a:r>
          </a:p>
        </xdr:txBody>
      </xdr:sp>
    </xdr:grpSp>
    <xdr:clientData/>
  </xdr:twoCellAnchor>
  <xdr:twoCellAnchor>
    <xdr:from>
      <xdr:col>35</xdr:col>
      <xdr:colOff>515257</xdr:colOff>
      <xdr:row>97</xdr:row>
      <xdr:rowOff>82356</xdr:rowOff>
    </xdr:from>
    <xdr:to>
      <xdr:col>37</xdr:col>
      <xdr:colOff>336874</xdr:colOff>
      <xdr:row>100</xdr:row>
      <xdr:rowOff>47540</xdr:rowOff>
    </xdr:to>
    <xdr:sp macro="" textlink="">
      <xdr:nvSpPr>
        <xdr:cNvPr id="161" name="CaixaDeTexto 160">
          <a:extLst>
            <a:ext uri="{FF2B5EF4-FFF2-40B4-BE49-F238E27FC236}">
              <a16:creationId xmlns:a16="http://schemas.microsoft.com/office/drawing/2014/main" id="{2839D006-5F8E-4433-A456-C78CB2FDC604}"/>
            </a:ext>
          </a:extLst>
        </xdr:cNvPr>
        <xdr:cNvSpPr txBox="1"/>
      </xdr:nvSpPr>
      <xdr:spPr>
        <a:xfrm>
          <a:off x="21851257" y="15789081"/>
          <a:ext cx="1040817" cy="450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4K. Filtros Dinâmicos = 3</a:t>
          </a:r>
        </a:p>
      </xdr:txBody>
    </xdr:sp>
    <xdr:clientData/>
  </xdr:twoCellAnchor>
  <xdr:twoCellAnchor>
    <xdr:from>
      <xdr:col>38</xdr:col>
      <xdr:colOff>478881</xdr:colOff>
      <xdr:row>100</xdr:row>
      <xdr:rowOff>30112</xdr:rowOff>
    </xdr:from>
    <xdr:to>
      <xdr:col>40</xdr:col>
      <xdr:colOff>494026</xdr:colOff>
      <xdr:row>100</xdr:row>
      <xdr:rowOff>30369</xdr:rowOff>
    </xdr:to>
    <xdr:cxnSp macro="">
      <xdr:nvCxnSpPr>
        <xdr:cNvPr id="162" name="Conector de Seta Reta 161">
          <a:extLst>
            <a:ext uri="{FF2B5EF4-FFF2-40B4-BE49-F238E27FC236}">
              <a16:creationId xmlns:a16="http://schemas.microsoft.com/office/drawing/2014/main" id="{BE199805-E3A9-4D49-996F-B9E1865FEC18}"/>
            </a:ext>
          </a:extLst>
        </xdr:cNvPr>
        <xdr:cNvCxnSpPr/>
      </xdr:nvCxnSpPr>
      <xdr:spPr>
        <a:xfrm flipV="1">
          <a:off x="23643681" y="16222612"/>
          <a:ext cx="1234345" cy="2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526573</xdr:colOff>
      <xdr:row>98</xdr:row>
      <xdr:rowOff>107744</xdr:rowOff>
    </xdr:from>
    <xdr:to>
      <xdr:col>41</xdr:col>
      <xdr:colOff>592731</xdr:colOff>
      <xdr:row>102</xdr:row>
      <xdr:rowOff>19970</xdr:rowOff>
    </xdr:to>
    <xdr:grpSp>
      <xdr:nvGrpSpPr>
        <xdr:cNvPr id="163" name="Agrupar 162">
          <a:extLst>
            <a:ext uri="{FF2B5EF4-FFF2-40B4-BE49-F238E27FC236}">
              <a16:creationId xmlns:a16="http://schemas.microsoft.com/office/drawing/2014/main" id="{2FFEBF4E-BF58-4E7E-B31B-927F77212510}"/>
            </a:ext>
          </a:extLst>
        </xdr:cNvPr>
        <xdr:cNvGrpSpPr/>
      </xdr:nvGrpSpPr>
      <xdr:grpSpPr>
        <a:xfrm>
          <a:off x="28892023" y="16443119"/>
          <a:ext cx="675758" cy="559926"/>
          <a:chOff x="3885187" y="1015869"/>
          <a:chExt cx="551387" cy="524356"/>
        </a:xfrm>
      </xdr:grpSpPr>
      <xdr:sp macro="" textlink="">
        <xdr:nvSpPr>
          <xdr:cNvPr id="164" name="Elipse 163">
            <a:extLst>
              <a:ext uri="{FF2B5EF4-FFF2-40B4-BE49-F238E27FC236}">
                <a16:creationId xmlns:a16="http://schemas.microsoft.com/office/drawing/2014/main" id="{9F9153B6-056F-4641-A7A6-156B33006A0A}"/>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65" name="CaixaDeTexto 164">
            <a:extLst>
              <a:ext uri="{FF2B5EF4-FFF2-40B4-BE49-F238E27FC236}">
                <a16:creationId xmlns:a16="http://schemas.microsoft.com/office/drawing/2014/main" id="{30BDB629-52A8-4A73-911F-E2FD6706CC95}"/>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32</a:t>
            </a:r>
          </a:p>
        </xdr:txBody>
      </xdr:sp>
    </xdr:grpSp>
    <xdr:clientData/>
  </xdr:twoCellAnchor>
  <xdr:twoCellAnchor>
    <xdr:from>
      <xdr:col>38</xdr:col>
      <xdr:colOff>504881</xdr:colOff>
      <xdr:row>97</xdr:row>
      <xdr:rowOff>104383</xdr:rowOff>
    </xdr:from>
    <xdr:to>
      <xdr:col>40</xdr:col>
      <xdr:colOff>405801</xdr:colOff>
      <xdr:row>100</xdr:row>
      <xdr:rowOff>71843</xdr:rowOff>
    </xdr:to>
    <xdr:sp macro="" textlink="">
      <xdr:nvSpPr>
        <xdr:cNvPr id="166" name="CaixaDeTexto 165">
          <a:extLst>
            <a:ext uri="{FF2B5EF4-FFF2-40B4-BE49-F238E27FC236}">
              <a16:creationId xmlns:a16="http://schemas.microsoft.com/office/drawing/2014/main" id="{BAA1D61B-AF59-4252-A5E9-1E7512C6725E}"/>
            </a:ext>
          </a:extLst>
        </xdr:cNvPr>
        <xdr:cNvSpPr txBox="1"/>
      </xdr:nvSpPr>
      <xdr:spPr>
        <a:xfrm>
          <a:off x="23669681" y="15811108"/>
          <a:ext cx="1120120" cy="453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4L. Exportação de Relatórios = 3</a:t>
          </a:r>
        </a:p>
      </xdr:txBody>
    </xdr:sp>
    <xdr:clientData/>
  </xdr:twoCellAnchor>
  <xdr:twoCellAnchor>
    <xdr:from>
      <xdr:col>21</xdr:col>
      <xdr:colOff>534866</xdr:colOff>
      <xdr:row>83</xdr:row>
      <xdr:rowOff>153865</xdr:rowOff>
    </xdr:from>
    <xdr:to>
      <xdr:col>25</xdr:col>
      <xdr:colOff>190500</xdr:colOff>
      <xdr:row>92</xdr:row>
      <xdr:rowOff>131885</xdr:rowOff>
    </xdr:to>
    <xdr:cxnSp macro="">
      <xdr:nvCxnSpPr>
        <xdr:cNvPr id="167" name="Conector de Seta Reta 166">
          <a:extLst>
            <a:ext uri="{FF2B5EF4-FFF2-40B4-BE49-F238E27FC236}">
              <a16:creationId xmlns:a16="http://schemas.microsoft.com/office/drawing/2014/main" id="{C8817561-6849-4131-A0CA-56B3B4142C47}"/>
            </a:ext>
          </a:extLst>
        </xdr:cNvPr>
        <xdr:cNvCxnSpPr/>
      </xdr:nvCxnSpPr>
      <xdr:spPr>
        <a:xfrm flipV="1">
          <a:off x="13336466" y="13593640"/>
          <a:ext cx="2094034" cy="14353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216587</xdr:colOff>
      <xdr:row>82</xdr:row>
      <xdr:rowOff>7567</xdr:rowOff>
    </xdr:from>
    <xdr:to>
      <xdr:col>26</xdr:col>
      <xdr:colOff>254168</xdr:colOff>
      <xdr:row>85</xdr:row>
      <xdr:rowOff>83701</xdr:rowOff>
    </xdr:to>
    <xdr:grpSp>
      <xdr:nvGrpSpPr>
        <xdr:cNvPr id="168" name="Agrupar 167">
          <a:extLst>
            <a:ext uri="{FF2B5EF4-FFF2-40B4-BE49-F238E27FC236}">
              <a16:creationId xmlns:a16="http://schemas.microsoft.com/office/drawing/2014/main" id="{69941D6D-5E62-4FF8-8C7B-F743BF214B5E}"/>
            </a:ext>
          </a:extLst>
        </xdr:cNvPr>
        <xdr:cNvGrpSpPr/>
      </xdr:nvGrpSpPr>
      <xdr:grpSpPr>
        <a:xfrm>
          <a:off x="19438037" y="13752142"/>
          <a:ext cx="647181" cy="561909"/>
          <a:chOff x="3885187" y="1015869"/>
          <a:chExt cx="551387" cy="524356"/>
        </a:xfrm>
      </xdr:grpSpPr>
      <xdr:sp macro="" textlink="">
        <xdr:nvSpPr>
          <xdr:cNvPr id="169" name="Elipse 168">
            <a:extLst>
              <a:ext uri="{FF2B5EF4-FFF2-40B4-BE49-F238E27FC236}">
                <a16:creationId xmlns:a16="http://schemas.microsoft.com/office/drawing/2014/main" id="{47FF777F-DA8F-45FC-9FDB-3F96953C8A58}"/>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70" name="CaixaDeTexto 169">
            <a:extLst>
              <a:ext uri="{FF2B5EF4-FFF2-40B4-BE49-F238E27FC236}">
                <a16:creationId xmlns:a16="http://schemas.microsoft.com/office/drawing/2014/main" id="{34C6C56F-B39F-4D33-A1FC-31DF1EF4F122}"/>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33</a:t>
            </a:r>
          </a:p>
        </xdr:txBody>
      </xdr:sp>
    </xdr:grpSp>
    <xdr:clientData/>
  </xdr:twoCellAnchor>
  <xdr:twoCellAnchor>
    <xdr:from>
      <xdr:col>21</xdr:col>
      <xdr:colOff>475623</xdr:colOff>
      <xdr:row>85</xdr:row>
      <xdr:rowOff>153040</xdr:rowOff>
    </xdr:from>
    <xdr:to>
      <xdr:col>24</xdr:col>
      <xdr:colOff>427762</xdr:colOff>
      <xdr:row>88</xdr:row>
      <xdr:rowOff>127025</xdr:rowOff>
    </xdr:to>
    <xdr:sp macro="" textlink="">
      <xdr:nvSpPr>
        <xdr:cNvPr id="171" name="CaixaDeTexto 170">
          <a:extLst>
            <a:ext uri="{FF2B5EF4-FFF2-40B4-BE49-F238E27FC236}">
              <a16:creationId xmlns:a16="http://schemas.microsoft.com/office/drawing/2014/main" id="{68B7D342-75CF-4244-97CE-46ACBD3FFFF5}"/>
            </a:ext>
          </a:extLst>
        </xdr:cNvPr>
        <xdr:cNvSpPr txBox="1"/>
      </xdr:nvSpPr>
      <xdr:spPr>
        <a:xfrm rot="19419451">
          <a:off x="13277223" y="13916665"/>
          <a:ext cx="1780939" cy="45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4M. Inteligência</a:t>
          </a:r>
          <a:r>
            <a:rPr lang="pt-BR" sz="1000" b="1" u="none" baseline="0">
              <a:ln>
                <a:noFill/>
              </a:ln>
              <a:solidFill>
                <a:schemeClr val="dk1"/>
              </a:solidFill>
              <a:latin typeface="+mn-lt"/>
              <a:ea typeface="+mn-ea"/>
              <a:cs typeface="+mn-cs"/>
            </a:rPr>
            <a:t> Artificial / Machine Learning = 3</a:t>
          </a:r>
          <a:endParaRPr lang="pt-BR" sz="1000" b="1" u="none">
            <a:ln>
              <a:noFill/>
            </a:ln>
            <a:solidFill>
              <a:schemeClr val="dk1"/>
            </a:solidFill>
            <a:latin typeface="+mn-lt"/>
            <a:ea typeface="+mn-ea"/>
            <a:cs typeface="+mn-cs"/>
          </a:endParaRPr>
        </a:p>
      </xdr:txBody>
    </xdr:sp>
    <xdr:clientData/>
  </xdr:twoCellAnchor>
  <xdr:twoCellAnchor>
    <xdr:from>
      <xdr:col>26</xdr:col>
      <xdr:colOff>264346</xdr:colOff>
      <xdr:row>83</xdr:row>
      <xdr:rowOff>155314</xdr:rowOff>
    </xdr:from>
    <xdr:to>
      <xdr:col>29</xdr:col>
      <xdr:colOff>19050</xdr:colOff>
      <xdr:row>83</xdr:row>
      <xdr:rowOff>161925</xdr:rowOff>
    </xdr:to>
    <xdr:cxnSp macro="">
      <xdr:nvCxnSpPr>
        <xdr:cNvPr id="172" name="Conector de Seta Reta 171">
          <a:extLst>
            <a:ext uri="{FF2B5EF4-FFF2-40B4-BE49-F238E27FC236}">
              <a16:creationId xmlns:a16="http://schemas.microsoft.com/office/drawing/2014/main" id="{7848961C-D33F-4472-B333-79A5B406F59E}"/>
            </a:ext>
          </a:extLst>
        </xdr:cNvPr>
        <xdr:cNvCxnSpPr/>
      </xdr:nvCxnSpPr>
      <xdr:spPr>
        <a:xfrm>
          <a:off x="16113946" y="13595089"/>
          <a:ext cx="1583504" cy="66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266700</xdr:colOff>
      <xdr:row>81</xdr:row>
      <xdr:rowOff>139065</xdr:rowOff>
    </xdr:from>
    <xdr:to>
      <xdr:col>28</xdr:col>
      <xdr:colOff>472440</xdr:colOff>
      <xdr:row>84</xdr:row>
      <xdr:rowOff>112318</xdr:rowOff>
    </xdr:to>
    <xdr:sp macro="" textlink="">
      <xdr:nvSpPr>
        <xdr:cNvPr id="173" name="CaixaDeTexto 172">
          <a:extLst>
            <a:ext uri="{FF2B5EF4-FFF2-40B4-BE49-F238E27FC236}">
              <a16:creationId xmlns:a16="http://schemas.microsoft.com/office/drawing/2014/main" id="{1319609D-9019-46BD-B150-913BA9E96A1D}"/>
            </a:ext>
          </a:extLst>
        </xdr:cNvPr>
        <xdr:cNvSpPr txBox="1"/>
      </xdr:nvSpPr>
      <xdr:spPr>
        <a:xfrm>
          <a:off x="16116300" y="13254990"/>
          <a:ext cx="1424940" cy="45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4N.</a:t>
          </a:r>
          <a:r>
            <a:rPr lang="pt-BR" sz="1000" b="1" u="none" baseline="0">
              <a:ln>
                <a:noFill/>
              </a:ln>
              <a:solidFill>
                <a:schemeClr val="dk1"/>
              </a:solidFill>
              <a:latin typeface="+mn-lt"/>
              <a:ea typeface="+mn-ea"/>
              <a:cs typeface="+mn-cs"/>
            </a:rPr>
            <a:t> Análise de padrões e alertas = 3</a:t>
          </a:r>
          <a:endParaRPr lang="pt-BR" sz="1000" b="1" u="none">
            <a:ln>
              <a:noFill/>
            </a:ln>
            <a:solidFill>
              <a:schemeClr val="dk1"/>
            </a:solidFill>
            <a:latin typeface="+mn-lt"/>
            <a:ea typeface="+mn-ea"/>
            <a:cs typeface="+mn-cs"/>
          </a:endParaRPr>
        </a:p>
      </xdr:txBody>
    </xdr:sp>
    <xdr:clientData/>
  </xdr:twoCellAnchor>
  <xdr:twoCellAnchor>
    <xdr:from>
      <xdr:col>29</xdr:col>
      <xdr:colOff>64919</xdr:colOff>
      <xdr:row>82</xdr:row>
      <xdr:rowOff>56658</xdr:rowOff>
    </xdr:from>
    <xdr:to>
      <xdr:col>30</xdr:col>
      <xdr:colOff>102500</xdr:colOff>
      <xdr:row>85</xdr:row>
      <xdr:rowOff>132792</xdr:rowOff>
    </xdr:to>
    <xdr:grpSp>
      <xdr:nvGrpSpPr>
        <xdr:cNvPr id="174" name="Agrupar 173">
          <a:extLst>
            <a:ext uri="{FF2B5EF4-FFF2-40B4-BE49-F238E27FC236}">
              <a16:creationId xmlns:a16="http://schemas.microsoft.com/office/drawing/2014/main" id="{65AE62C6-37ED-4FCC-BF8D-4BAA988D372F}"/>
            </a:ext>
          </a:extLst>
        </xdr:cNvPr>
        <xdr:cNvGrpSpPr/>
      </xdr:nvGrpSpPr>
      <xdr:grpSpPr>
        <a:xfrm>
          <a:off x="21724769" y="13801233"/>
          <a:ext cx="647181" cy="561909"/>
          <a:chOff x="3885187" y="1015869"/>
          <a:chExt cx="551387" cy="524356"/>
        </a:xfrm>
      </xdr:grpSpPr>
      <xdr:sp macro="" textlink="">
        <xdr:nvSpPr>
          <xdr:cNvPr id="175" name="Elipse 174">
            <a:extLst>
              <a:ext uri="{FF2B5EF4-FFF2-40B4-BE49-F238E27FC236}">
                <a16:creationId xmlns:a16="http://schemas.microsoft.com/office/drawing/2014/main" id="{7A329174-D8D8-4D6A-A188-5E20E54B4928}"/>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76" name="CaixaDeTexto 175">
            <a:extLst>
              <a:ext uri="{FF2B5EF4-FFF2-40B4-BE49-F238E27FC236}">
                <a16:creationId xmlns:a16="http://schemas.microsoft.com/office/drawing/2014/main" id="{7B6C47DD-86E3-442D-A50D-6A5C3EFC9C33}"/>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34</a:t>
            </a:r>
          </a:p>
        </xdr:txBody>
      </xdr:sp>
    </xdr:grpSp>
    <xdr:clientData/>
  </xdr:twoCellAnchor>
  <xdr:twoCellAnchor>
    <xdr:from>
      <xdr:col>30</xdr:col>
      <xdr:colOff>26671</xdr:colOff>
      <xdr:row>81</xdr:row>
      <xdr:rowOff>102870</xdr:rowOff>
    </xdr:from>
    <xdr:to>
      <xdr:col>32</xdr:col>
      <xdr:colOff>45721</xdr:colOff>
      <xdr:row>84</xdr:row>
      <xdr:rowOff>98983</xdr:rowOff>
    </xdr:to>
    <xdr:sp macro="" textlink="">
      <xdr:nvSpPr>
        <xdr:cNvPr id="177" name="CaixaDeTexto 176">
          <a:extLst>
            <a:ext uri="{FF2B5EF4-FFF2-40B4-BE49-F238E27FC236}">
              <a16:creationId xmlns:a16="http://schemas.microsoft.com/office/drawing/2014/main" id="{589091B0-2235-4804-B4C4-840D9610F7E6}"/>
            </a:ext>
          </a:extLst>
        </xdr:cNvPr>
        <xdr:cNvSpPr txBox="1"/>
      </xdr:nvSpPr>
      <xdr:spPr>
        <a:xfrm>
          <a:off x="18314671" y="13218795"/>
          <a:ext cx="1238250" cy="481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4O. Sugestões Automáticas</a:t>
          </a:r>
          <a:r>
            <a:rPr lang="pt-BR" sz="1000" b="1" u="none" baseline="0">
              <a:ln>
                <a:noFill/>
              </a:ln>
              <a:solidFill>
                <a:schemeClr val="dk1"/>
              </a:solidFill>
              <a:latin typeface="+mn-lt"/>
              <a:ea typeface="+mn-ea"/>
              <a:cs typeface="+mn-cs"/>
            </a:rPr>
            <a:t> = 3</a:t>
          </a:r>
          <a:endParaRPr lang="pt-BR" sz="1000" b="1" u="none">
            <a:ln>
              <a:noFill/>
            </a:ln>
            <a:solidFill>
              <a:schemeClr val="dk1"/>
            </a:solidFill>
            <a:latin typeface="+mn-lt"/>
            <a:ea typeface="+mn-ea"/>
            <a:cs typeface="+mn-cs"/>
          </a:endParaRPr>
        </a:p>
      </xdr:txBody>
    </xdr:sp>
    <xdr:clientData/>
  </xdr:twoCellAnchor>
  <xdr:twoCellAnchor>
    <xdr:from>
      <xdr:col>30</xdr:col>
      <xdr:colOff>73846</xdr:colOff>
      <xdr:row>83</xdr:row>
      <xdr:rowOff>149599</xdr:rowOff>
    </xdr:from>
    <xdr:to>
      <xdr:col>31</xdr:col>
      <xdr:colOff>598170</xdr:colOff>
      <xdr:row>83</xdr:row>
      <xdr:rowOff>149599</xdr:rowOff>
    </xdr:to>
    <xdr:cxnSp macro="">
      <xdr:nvCxnSpPr>
        <xdr:cNvPr id="178" name="Conector de Seta Reta 177">
          <a:extLst>
            <a:ext uri="{FF2B5EF4-FFF2-40B4-BE49-F238E27FC236}">
              <a16:creationId xmlns:a16="http://schemas.microsoft.com/office/drawing/2014/main" id="{CA0E34ED-D26F-4261-AFBB-150EE274F933}"/>
            </a:ext>
          </a:extLst>
        </xdr:cNvPr>
        <xdr:cNvCxnSpPr/>
      </xdr:nvCxnSpPr>
      <xdr:spPr>
        <a:xfrm>
          <a:off x="18361846" y="13589374"/>
          <a:ext cx="113392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28726</xdr:colOff>
      <xdr:row>82</xdr:row>
      <xdr:rowOff>10937</xdr:rowOff>
    </xdr:from>
    <xdr:to>
      <xdr:col>33</xdr:col>
      <xdr:colOff>65028</xdr:colOff>
      <xdr:row>85</xdr:row>
      <xdr:rowOff>87071</xdr:rowOff>
    </xdr:to>
    <xdr:grpSp>
      <xdr:nvGrpSpPr>
        <xdr:cNvPr id="179" name="Agrupar 178">
          <a:extLst>
            <a:ext uri="{FF2B5EF4-FFF2-40B4-BE49-F238E27FC236}">
              <a16:creationId xmlns:a16="http://schemas.microsoft.com/office/drawing/2014/main" id="{B63A03E7-22B1-4D3E-9E5A-78653555ADEB}"/>
            </a:ext>
          </a:extLst>
        </xdr:cNvPr>
        <xdr:cNvGrpSpPr/>
      </xdr:nvGrpSpPr>
      <xdr:grpSpPr>
        <a:xfrm>
          <a:off x="23517376" y="13755512"/>
          <a:ext cx="645902" cy="561909"/>
          <a:chOff x="3883254" y="1016653"/>
          <a:chExt cx="553320" cy="519330"/>
        </a:xfrm>
      </xdr:grpSpPr>
      <xdr:sp macro="" textlink="">
        <xdr:nvSpPr>
          <xdr:cNvPr id="180" name="Elipse 179">
            <a:extLst>
              <a:ext uri="{FF2B5EF4-FFF2-40B4-BE49-F238E27FC236}">
                <a16:creationId xmlns:a16="http://schemas.microsoft.com/office/drawing/2014/main" id="{D941C715-79C0-4872-89FD-52B5BFD61662}"/>
              </a:ext>
            </a:extLst>
          </xdr:cNvPr>
          <xdr:cNvSpPr/>
        </xdr:nvSpPr>
        <xdr:spPr>
          <a:xfrm>
            <a:off x="3883254" y="1016653"/>
            <a:ext cx="538171" cy="51933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81" name="CaixaDeTexto 180">
            <a:extLst>
              <a:ext uri="{FF2B5EF4-FFF2-40B4-BE49-F238E27FC236}">
                <a16:creationId xmlns:a16="http://schemas.microsoft.com/office/drawing/2014/main" id="{A6EAC2C9-85CA-4FF2-82A5-D65DA8239817}"/>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35</a:t>
            </a:r>
          </a:p>
        </xdr:txBody>
      </xdr:sp>
    </xdr:grpSp>
    <xdr:clientData/>
  </xdr:twoCellAnchor>
  <xdr:twoCellAnchor>
    <xdr:from>
      <xdr:col>33</xdr:col>
      <xdr:colOff>98611</xdr:colOff>
      <xdr:row>83</xdr:row>
      <xdr:rowOff>136264</xdr:rowOff>
    </xdr:from>
    <xdr:to>
      <xdr:col>34</xdr:col>
      <xdr:colOff>600075</xdr:colOff>
      <xdr:row>83</xdr:row>
      <xdr:rowOff>142875</xdr:rowOff>
    </xdr:to>
    <xdr:cxnSp macro="">
      <xdr:nvCxnSpPr>
        <xdr:cNvPr id="182" name="Conector de Seta Reta 181">
          <a:extLst>
            <a:ext uri="{FF2B5EF4-FFF2-40B4-BE49-F238E27FC236}">
              <a16:creationId xmlns:a16="http://schemas.microsoft.com/office/drawing/2014/main" id="{3D0665B2-680F-4E80-946D-612092DDA52F}"/>
            </a:ext>
          </a:extLst>
        </xdr:cNvPr>
        <xdr:cNvCxnSpPr/>
      </xdr:nvCxnSpPr>
      <xdr:spPr>
        <a:xfrm>
          <a:off x="20215411" y="13576039"/>
          <a:ext cx="1111064" cy="66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582930</xdr:colOff>
      <xdr:row>81</xdr:row>
      <xdr:rowOff>87630</xdr:rowOff>
    </xdr:from>
    <xdr:to>
      <xdr:col>34</xdr:col>
      <xdr:colOff>596265</xdr:colOff>
      <xdr:row>84</xdr:row>
      <xdr:rowOff>66598</xdr:rowOff>
    </xdr:to>
    <xdr:sp macro="" textlink="">
      <xdr:nvSpPr>
        <xdr:cNvPr id="183" name="CaixaDeTexto 182">
          <a:extLst>
            <a:ext uri="{FF2B5EF4-FFF2-40B4-BE49-F238E27FC236}">
              <a16:creationId xmlns:a16="http://schemas.microsoft.com/office/drawing/2014/main" id="{10688181-AEC0-497F-8ABF-2C41CF8B4D84}"/>
            </a:ext>
          </a:extLst>
        </xdr:cNvPr>
        <xdr:cNvSpPr txBox="1"/>
      </xdr:nvSpPr>
      <xdr:spPr>
        <a:xfrm>
          <a:off x="20090130" y="13203555"/>
          <a:ext cx="1232535" cy="464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4P. FAQ com Chatbot = 3</a:t>
          </a:r>
        </a:p>
      </xdr:txBody>
    </xdr:sp>
    <xdr:clientData/>
  </xdr:twoCellAnchor>
  <xdr:twoCellAnchor>
    <xdr:from>
      <xdr:col>35</xdr:col>
      <xdr:colOff>34441</xdr:colOff>
      <xdr:row>82</xdr:row>
      <xdr:rowOff>35702</xdr:rowOff>
    </xdr:from>
    <xdr:to>
      <xdr:col>36</xdr:col>
      <xdr:colOff>68838</xdr:colOff>
      <xdr:row>85</xdr:row>
      <xdr:rowOff>106121</xdr:rowOff>
    </xdr:to>
    <xdr:grpSp>
      <xdr:nvGrpSpPr>
        <xdr:cNvPr id="184" name="Agrupar 183">
          <a:extLst>
            <a:ext uri="{FF2B5EF4-FFF2-40B4-BE49-F238E27FC236}">
              <a16:creationId xmlns:a16="http://schemas.microsoft.com/office/drawing/2014/main" id="{B69EA3B2-8ECE-4435-B938-14B5F6A11A8F}"/>
            </a:ext>
          </a:extLst>
        </xdr:cNvPr>
        <xdr:cNvGrpSpPr/>
      </xdr:nvGrpSpPr>
      <xdr:grpSpPr>
        <a:xfrm>
          <a:off x="25351891" y="13780277"/>
          <a:ext cx="643997" cy="556194"/>
          <a:chOff x="3883254" y="1016653"/>
          <a:chExt cx="553320" cy="519330"/>
        </a:xfrm>
      </xdr:grpSpPr>
      <xdr:sp macro="" textlink="">
        <xdr:nvSpPr>
          <xdr:cNvPr id="185" name="Elipse 184">
            <a:extLst>
              <a:ext uri="{FF2B5EF4-FFF2-40B4-BE49-F238E27FC236}">
                <a16:creationId xmlns:a16="http://schemas.microsoft.com/office/drawing/2014/main" id="{6A72CE4E-D6D0-48C3-9B86-7D0100430BE8}"/>
              </a:ext>
            </a:extLst>
          </xdr:cNvPr>
          <xdr:cNvSpPr/>
        </xdr:nvSpPr>
        <xdr:spPr>
          <a:xfrm>
            <a:off x="3883254" y="1016653"/>
            <a:ext cx="538171" cy="51933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86" name="CaixaDeTexto 185">
            <a:extLst>
              <a:ext uri="{FF2B5EF4-FFF2-40B4-BE49-F238E27FC236}">
                <a16:creationId xmlns:a16="http://schemas.microsoft.com/office/drawing/2014/main" id="{515E24E1-377D-45C3-BA53-97212D55F66A}"/>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36</a:t>
            </a:r>
          </a:p>
        </xdr:txBody>
      </xdr:sp>
    </xdr:grpSp>
    <xdr:clientData/>
  </xdr:twoCellAnchor>
  <xdr:twoCellAnchor>
    <xdr:from>
      <xdr:col>36</xdr:col>
      <xdr:colOff>7620</xdr:colOff>
      <xdr:row>81</xdr:row>
      <xdr:rowOff>95250</xdr:rowOff>
    </xdr:from>
    <xdr:to>
      <xdr:col>38</xdr:col>
      <xdr:colOff>381000</xdr:colOff>
      <xdr:row>84</xdr:row>
      <xdr:rowOff>66598</xdr:rowOff>
    </xdr:to>
    <xdr:sp macro="" textlink="">
      <xdr:nvSpPr>
        <xdr:cNvPr id="187" name="CaixaDeTexto 186">
          <a:extLst>
            <a:ext uri="{FF2B5EF4-FFF2-40B4-BE49-F238E27FC236}">
              <a16:creationId xmlns:a16="http://schemas.microsoft.com/office/drawing/2014/main" id="{5CEE379D-CEC7-4DB9-B90F-55A2FAD2C0F0}"/>
            </a:ext>
          </a:extLst>
        </xdr:cNvPr>
        <xdr:cNvSpPr txBox="1"/>
      </xdr:nvSpPr>
      <xdr:spPr>
        <a:xfrm>
          <a:off x="21953220" y="13211175"/>
          <a:ext cx="1592580" cy="457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4Q. Definição de Perguntas Frequentes</a:t>
          </a:r>
          <a:r>
            <a:rPr lang="pt-BR" sz="1000" b="1" u="none" baseline="0">
              <a:ln>
                <a:noFill/>
              </a:ln>
              <a:solidFill>
                <a:schemeClr val="dk1"/>
              </a:solidFill>
              <a:latin typeface="+mn-lt"/>
              <a:ea typeface="+mn-ea"/>
              <a:cs typeface="+mn-cs"/>
            </a:rPr>
            <a:t> = 3</a:t>
          </a:r>
          <a:endParaRPr lang="pt-BR" sz="1000" b="1" u="none">
            <a:ln>
              <a:noFill/>
            </a:ln>
            <a:solidFill>
              <a:schemeClr val="dk1"/>
            </a:solidFill>
            <a:latin typeface="+mn-lt"/>
            <a:ea typeface="+mn-ea"/>
            <a:cs typeface="+mn-cs"/>
          </a:endParaRPr>
        </a:p>
      </xdr:txBody>
    </xdr:sp>
    <xdr:clientData/>
  </xdr:twoCellAnchor>
  <xdr:twoCellAnchor>
    <xdr:from>
      <xdr:col>36</xdr:col>
      <xdr:colOff>60511</xdr:colOff>
      <xdr:row>84</xdr:row>
      <xdr:rowOff>9525</xdr:rowOff>
    </xdr:from>
    <xdr:to>
      <xdr:col>38</xdr:col>
      <xdr:colOff>428625</xdr:colOff>
      <xdr:row>84</xdr:row>
      <xdr:rowOff>27679</xdr:rowOff>
    </xdr:to>
    <xdr:cxnSp macro="">
      <xdr:nvCxnSpPr>
        <xdr:cNvPr id="188" name="Conector de Seta Reta 187">
          <a:extLst>
            <a:ext uri="{FF2B5EF4-FFF2-40B4-BE49-F238E27FC236}">
              <a16:creationId xmlns:a16="http://schemas.microsoft.com/office/drawing/2014/main" id="{5B178A70-C456-4964-B2BB-18896F875A2A}"/>
            </a:ext>
          </a:extLst>
        </xdr:cNvPr>
        <xdr:cNvCxnSpPr/>
      </xdr:nvCxnSpPr>
      <xdr:spPr>
        <a:xfrm flipV="1">
          <a:off x="22006111" y="13611225"/>
          <a:ext cx="1587314" cy="18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485926</xdr:colOff>
      <xdr:row>82</xdr:row>
      <xdr:rowOff>9032</xdr:rowOff>
    </xdr:from>
    <xdr:to>
      <xdr:col>39</xdr:col>
      <xdr:colOff>514608</xdr:colOff>
      <xdr:row>85</xdr:row>
      <xdr:rowOff>73736</xdr:rowOff>
    </xdr:to>
    <xdr:grpSp>
      <xdr:nvGrpSpPr>
        <xdr:cNvPr id="189" name="Agrupar 188">
          <a:extLst>
            <a:ext uri="{FF2B5EF4-FFF2-40B4-BE49-F238E27FC236}">
              <a16:creationId xmlns:a16="http://schemas.microsoft.com/office/drawing/2014/main" id="{25C7EA5D-66E8-4647-9D33-694BB034076B}"/>
            </a:ext>
          </a:extLst>
        </xdr:cNvPr>
        <xdr:cNvGrpSpPr/>
      </xdr:nvGrpSpPr>
      <xdr:grpSpPr>
        <a:xfrm>
          <a:off x="27632176" y="13753607"/>
          <a:ext cx="638282" cy="550479"/>
          <a:chOff x="3883254" y="1016653"/>
          <a:chExt cx="553320" cy="519330"/>
        </a:xfrm>
      </xdr:grpSpPr>
      <xdr:sp macro="" textlink="">
        <xdr:nvSpPr>
          <xdr:cNvPr id="190" name="Elipse 189">
            <a:extLst>
              <a:ext uri="{FF2B5EF4-FFF2-40B4-BE49-F238E27FC236}">
                <a16:creationId xmlns:a16="http://schemas.microsoft.com/office/drawing/2014/main" id="{A0027964-B2F3-4B6B-9080-4C4B16453D9D}"/>
              </a:ext>
            </a:extLst>
          </xdr:cNvPr>
          <xdr:cNvSpPr/>
        </xdr:nvSpPr>
        <xdr:spPr>
          <a:xfrm>
            <a:off x="3883254" y="1016653"/>
            <a:ext cx="538171" cy="51933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91" name="CaixaDeTexto 190">
            <a:extLst>
              <a:ext uri="{FF2B5EF4-FFF2-40B4-BE49-F238E27FC236}">
                <a16:creationId xmlns:a16="http://schemas.microsoft.com/office/drawing/2014/main" id="{5E850D5A-D048-454B-88E9-7AB9B3AE7242}"/>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37</a:t>
            </a:r>
          </a:p>
        </xdr:txBody>
      </xdr:sp>
    </xdr:grpSp>
    <xdr:clientData/>
  </xdr:twoCellAnchor>
  <xdr:twoCellAnchor>
    <xdr:from>
      <xdr:col>39</xdr:col>
      <xdr:colOff>523426</xdr:colOff>
      <xdr:row>83</xdr:row>
      <xdr:rowOff>168649</xdr:rowOff>
    </xdr:from>
    <xdr:to>
      <xdr:col>42</xdr:col>
      <xdr:colOff>57150</xdr:colOff>
      <xdr:row>84</xdr:row>
      <xdr:rowOff>9525</xdr:rowOff>
    </xdr:to>
    <xdr:cxnSp macro="">
      <xdr:nvCxnSpPr>
        <xdr:cNvPr id="192" name="Conector de Seta Reta 191">
          <a:extLst>
            <a:ext uri="{FF2B5EF4-FFF2-40B4-BE49-F238E27FC236}">
              <a16:creationId xmlns:a16="http://schemas.microsoft.com/office/drawing/2014/main" id="{C19AB596-6029-4CB5-9E47-337957A5D06F}"/>
            </a:ext>
          </a:extLst>
        </xdr:cNvPr>
        <xdr:cNvCxnSpPr/>
      </xdr:nvCxnSpPr>
      <xdr:spPr>
        <a:xfrm>
          <a:off x="24297826" y="13598899"/>
          <a:ext cx="1362524" cy="123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475801</xdr:colOff>
      <xdr:row>81</xdr:row>
      <xdr:rowOff>104026</xdr:rowOff>
    </xdr:from>
    <xdr:to>
      <xdr:col>42</xdr:col>
      <xdr:colOff>9525</xdr:colOff>
      <xdr:row>84</xdr:row>
      <xdr:rowOff>103949</xdr:rowOff>
    </xdr:to>
    <xdr:sp macro="" textlink="">
      <xdr:nvSpPr>
        <xdr:cNvPr id="193" name="CaixaDeTexto 192">
          <a:extLst>
            <a:ext uri="{FF2B5EF4-FFF2-40B4-BE49-F238E27FC236}">
              <a16:creationId xmlns:a16="http://schemas.microsoft.com/office/drawing/2014/main" id="{FF80EE4B-FA20-4DDA-8A8A-CBED753248F4}"/>
            </a:ext>
          </a:extLst>
        </xdr:cNvPr>
        <xdr:cNvSpPr txBox="1"/>
      </xdr:nvSpPr>
      <xdr:spPr>
        <a:xfrm>
          <a:off x="24250201" y="13219951"/>
          <a:ext cx="1362524" cy="485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4R. Treinamento do Chatbot = 3</a:t>
          </a:r>
        </a:p>
      </xdr:txBody>
    </xdr:sp>
    <xdr:clientData/>
  </xdr:twoCellAnchor>
  <xdr:twoCellAnchor>
    <xdr:from>
      <xdr:col>42</xdr:col>
      <xdr:colOff>83971</xdr:colOff>
      <xdr:row>82</xdr:row>
      <xdr:rowOff>28082</xdr:rowOff>
    </xdr:from>
    <xdr:to>
      <xdr:col>43</xdr:col>
      <xdr:colOff>114558</xdr:colOff>
      <xdr:row>85</xdr:row>
      <xdr:rowOff>98501</xdr:rowOff>
    </xdr:to>
    <xdr:grpSp>
      <xdr:nvGrpSpPr>
        <xdr:cNvPr id="194" name="Agrupar 193">
          <a:extLst>
            <a:ext uri="{FF2B5EF4-FFF2-40B4-BE49-F238E27FC236}">
              <a16:creationId xmlns:a16="http://schemas.microsoft.com/office/drawing/2014/main" id="{28625435-8AB4-4FB1-A7A8-F5F1027535E9}"/>
            </a:ext>
          </a:extLst>
        </xdr:cNvPr>
        <xdr:cNvGrpSpPr/>
      </xdr:nvGrpSpPr>
      <xdr:grpSpPr>
        <a:xfrm>
          <a:off x="29668621" y="13772657"/>
          <a:ext cx="640187" cy="556194"/>
          <a:chOff x="3883254" y="1016653"/>
          <a:chExt cx="553320" cy="519330"/>
        </a:xfrm>
      </xdr:grpSpPr>
      <xdr:sp macro="" textlink="">
        <xdr:nvSpPr>
          <xdr:cNvPr id="195" name="Elipse 194">
            <a:extLst>
              <a:ext uri="{FF2B5EF4-FFF2-40B4-BE49-F238E27FC236}">
                <a16:creationId xmlns:a16="http://schemas.microsoft.com/office/drawing/2014/main" id="{0E8CE9CD-C6BE-4969-86D4-FC3F5C3041F3}"/>
              </a:ext>
            </a:extLst>
          </xdr:cNvPr>
          <xdr:cNvSpPr/>
        </xdr:nvSpPr>
        <xdr:spPr>
          <a:xfrm>
            <a:off x="3883254" y="1016653"/>
            <a:ext cx="538171" cy="519330"/>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196" name="CaixaDeTexto 195">
            <a:extLst>
              <a:ext uri="{FF2B5EF4-FFF2-40B4-BE49-F238E27FC236}">
                <a16:creationId xmlns:a16="http://schemas.microsoft.com/office/drawing/2014/main" id="{C0570F2A-3419-4EA9-A365-E774DC76C375}"/>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38</a:t>
            </a:r>
          </a:p>
        </xdr:txBody>
      </xdr:sp>
    </xdr:grpSp>
    <xdr:clientData/>
  </xdr:twoCellAnchor>
  <xdr:twoCellAnchor>
    <xdr:from>
      <xdr:col>32</xdr:col>
      <xdr:colOff>432395</xdr:colOff>
      <xdr:row>101</xdr:row>
      <xdr:rowOff>147514</xdr:rowOff>
    </xdr:from>
    <xdr:to>
      <xdr:col>34</xdr:col>
      <xdr:colOff>516360</xdr:colOff>
      <xdr:row>108</xdr:row>
      <xdr:rowOff>64465</xdr:rowOff>
    </xdr:to>
    <xdr:cxnSp macro="">
      <xdr:nvCxnSpPr>
        <xdr:cNvPr id="197" name="Conector de Seta Reta 196">
          <a:extLst>
            <a:ext uri="{FF2B5EF4-FFF2-40B4-BE49-F238E27FC236}">
              <a16:creationId xmlns:a16="http://schemas.microsoft.com/office/drawing/2014/main" id="{1E2BF0E1-8AAF-40DA-85EB-72623CF23D83}"/>
            </a:ext>
          </a:extLst>
        </xdr:cNvPr>
        <xdr:cNvCxnSpPr/>
      </xdr:nvCxnSpPr>
      <xdr:spPr>
        <a:xfrm>
          <a:off x="19939595" y="16501939"/>
          <a:ext cx="1303165" cy="1050426"/>
        </a:xfrm>
        <a:prstGeom prst="straightConnector1">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199194</xdr:colOff>
      <xdr:row>102</xdr:row>
      <xdr:rowOff>45035</xdr:rowOff>
    </xdr:from>
    <xdr:to>
      <xdr:col>35</xdr:col>
      <xdr:colOff>203888</xdr:colOff>
      <xdr:row>107</xdr:row>
      <xdr:rowOff>28838</xdr:rowOff>
    </xdr:to>
    <xdr:cxnSp macro="">
      <xdr:nvCxnSpPr>
        <xdr:cNvPr id="198" name="Conector de Seta Reta 197">
          <a:extLst>
            <a:ext uri="{FF2B5EF4-FFF2-40B4-BE49-F238E27FC236}">
              <a16:creationId xmlns:a16="http://schemas.microsoft.com/office/drawing/2014/main" id="{D9E0EF8A-0E87-4C4B-82B1-2060CB2212A4}"/>
            </a:ext>
          </a:extLst>
        </xdr:cNvPr>
        <xdr:cNvCxnSpPr/>
      </xdr:nvCxnSpPr>
      <xdr:spPr>
        <a:xfrm>
          <a:off x="21535194" y="16561385"/>
          <a:ext cx="4694" cy="793428"/>
        </a:xfrm>
        <a:prstGeom prst="straightConnector1">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608672</xdr:colOff>
      <xdr:row>102</xdr:row>
      <xdr:rowOff>45977</xdr:rowOff>
    </xdr:from>
    <xdr:to>
      <xdr:col>38</xdr:col>
      <xdr:colOff>126164</xdr:colOff>
      <xdr:row>107</xdr:row>
      <xdr:rowOff>169057</xdr:rowOff>
    </xdr:to>
    <xdr:cxnSp macro="">
      <xdr:nvCxnSpPr>
        <xdr:cNvPr id="199" name="Conector de Seta Reta 198">
          <a:extLst>
            <a:ext uri="{FF2B5EF4-FFF2-40B4-BE49-F238E27FC236}">
              <a16:creationId xmlns:a16="http://schemas.microsoft.com/office/drawing/2014/main" id="{6825B484-A1DD-41F6-A7DD-5DACB7CB2752}"/>
            </a:ext>
          </a:extLst>
        </xdr:cNvPr>
        <xdr:cNvCxnSpPr/>
      </xdr:nvCxnSpPr>
      <xdr:spPr>
        <a:xfrm flipH="1">
          <a:off x="21944672" y="16562327"/>
          <a:ext cx="1346292" cy="923180"/>
        </a:xfrm>
        <a:prstGeom prst="straightConnector1">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34</xdr:col>
      <xdr:colOff>549828</xdr:colOff>
      <xdr:row>107</xdr:row>
      <xdr:rowOff>75675</xdr:rowOff>
    </xdr:from>
    <xdr:to>
      <xdr:col>36</xdr:col>
      <xdr:colOff>2120</xdr:colOff>
      <xdr:row>110</xdr:row>
      <xdr:rowOff>150460</xdr:rowOff>
    </xdr:to>
    <xdr:grpSp>
      <xdr:nvGrpSpPr>
        <xdr:cNvPr id="200" name="Agrupar 199">
          <a:extLst>
            <a:ext uri="{FF2B5EF4-FFF2-40B4-BE49-F238E27FC236}">
              <a16:creationId xmlns:a16="http://schemas.microsoft.com/office/drawing/2014/main" id="{6023B253-8D62-4234-858C-FD0401ACF29F}"/>
            </a:ext>
          </a:extLst>
        </xdr:cNvPr>
        <xdr:cNvGrpSpPr/>
      </xdr:nvGrpSpPr>
      <xdr:grpSpPr>
        <a:xfrm>
          <a:off x="25257678" y="17868375"/>
          <a:ext cx="671492" cy="560560"/>
          <a:chOff x="3888010" y="1017550"/>
          <a:chExt cx="548564" cy="520994"/>
        </a:xfrm>
      </xdr:grpSpPr>
      <xdr:sp macro="" textlink="">
        <xdr:nvSpPr>
          <xdr:cNvPr id="201" name="Elipse 200">
            <a:extLst>
              <a:ext uri="{FF2B5EF4-FFF2-40B4-BE49-F238E27FC236}">
                <a16:creationId xmlns:a16="http://schemas.microsoft.com/office/drawing/2014/main" id="{9F8FF291-79E9-49F2-BA8E-238BC09C74C8}"/>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02" name="CaixaDeTexto 201">
            <a:extLst>
              <a:ext uri="{FF2B5EF4-FFF2-40B4-BE49-F238E27FC236}">
                <a16:creationId xmlns:a16="http://schemas.microsoft.com/office/drawing/2014/main" id="{BBB37661-26AD-490E-BE54-0139D8651858}"/>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39</a:t>
            </a:r>
          </a:p>
        </xdr:txBody>
      </xdr:sp>
    </xdr:grpSp>
    <xdr:clientData/>
  </xdr:twoCellAnchor>
  <xdr:twoCellAnchor>
    <xdr:from>
      <xdr:col>36</xdr:col>
      <xdr:colOff>108817</xdr:colOff>
      <xdr:row>109</xdr:row>
      <xdr:rowOff>156098</xdr:rowOff>
    </xdr:from>
    <xdr:to>
      <xdr:col>38</xdr:col>
      <xdr:colOff>338825</xdr:colOff>
      <xdr:row>109</xdr:row>
      <xdr:rowOff>156098</xdr:rowOff>
    </xdr:to>
    <xdr:cxnSp macro="">
      <xdr:nvCxnSpPr>
        <xdr:cNvPr id="203" name="Conector de Seta Reta 202">
          <a:extLst>
            <a:ext uri="{FF2B5EF4-FFF2-40B4-BE49-F238E27FC236}">
              <a16:creationId xmlns:a16="http://schemas.microsoft.com/office/drawing/2014/main" id="{EC322854-E1D1-4E6A-8D04-CF55F18E3AB8}"/>
            </a:ext>
          </a:extLst>
        </xdr:cNvPr>
        <xdr:cNvCxnSpPr/>
      </xdr:nvCxnSpPr>
      <xdr:spPr>
        <a:xfrm flipV="1">
          <a:off x="22054417" y="17805923"/>
          <a:ext cx="144920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361525</xdr:colOff>
      <xdr:row>108</xdr:row>
      <xdr:rowOff>3725</xdr:rowOff>
    </xdr:from>
    <xdr:to>
      <xdr:col>39</xdr:col>
      <xdr:colOff>426910</xdr:colOff>
      <xdr:row>111</xdr:row>
      <xdr:rowOff>79780</xdr:rowOff>
    </xdr:to>
    <xdr:grpSp>
      <xdr:nvGrpSpPr>
        <xdr:cNvPr id="204" name="Agrupar 203">
          <a:extLst>
            <a:ext uri="{FF2B5EF4-FFF2-40B4-BE49-F238E27FC236}">
              <a16:creationId xmlns:a16="http://schemas.microsoft.com/office/drawing/2014/main" id="{569DE64B-E7E5-4D4E-8F0E-4820F18952FB}"/>
            </a:ext>
          </a:extLst>
        </xdr:cNvPr>
        <xdr:cNvGrpSpPr/>
      </xdr:nvGrpSpPr>
      <xdr:grpSpPr>
        <a:xfrm>
          <a:off x="27507775" y="17958350"/>
          <a:ext cx="674985" cy="561830"/>
          <a:chOff x="3888010" y="1017550"/>
          <a:chExt cx="548564" cy="520994"/>
        </a:xfrm>
      </xdr:grpSpPr>
      <xdr:sp macro="" textlink="">
        <xdr:nvSpPr>
          <xdr:cNvPr id="205" name="Elipse 204">
            <a:extLst>
              <a:ext uri="{FF2B5EF4-FFF2-40B4-BE49-F238E27FC236}">
                <a16:creationId xmlns:a16="http://schemas.microsoft.com/office/drawing/2014/main" id="{A2D71399-B73A-4E88-942C-D6B136FEECB1}"/>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06" name="CaixaDeTexto 205">
            <a:extLst>
              <a:ext uri="{FF2B5EF4-FFF2-40B4-BE49-F238E27FC236}">
                <a16:creationId xmlns:a16="http://schemas.microsoft.com/office/drawing/2014/main" id="{FAD46BFC-5F95-4A34-B847-A21F7C1262CF}"/>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40</a:t>
            </a:r>
          </a:p>
        </xdr:txBody>
      </xdr:sp>
    </xdr:grpSp>
    <xdr:clientData/>
  </xdr:twoCellAnchor>
  <xdr:twoCellAnchor>
    <xdr:from>
      <xdr:col>36</xdr:col>
      <xdr:colOff>253138</xdr:colOff>
      <xdr:row>107</xdr:row>
      <xdr:rowOff>123908</xdr:rowOff>
    </xdr:from>
    <xdr:to>
      <xdr:col>38</xdr:col>
      <xdr:colOff>228209</xdr:colOff>
      <xdr:row>110</xdr:row>
      <xdr:rowOff>85282</xdr:rowOff>
    </xdr:to>
    <xdr:sp macro="" textlink="">
      <xdr:nvSpPr>
        <xdr:cNvPr id="207" name="CaixaDeTexto 206">
          <a:extLst>
            <a:ext uri="{FF2B5EF4-FFF2-40B4-BE49-F238E27FC236}">
              <a16:creationId xmlns:a16="http://schemas.microsoft.com/office/drawing/2014/main" id="{7C9174FF-A905-46E1-BECD-E6639826019A}"/>
            </a:ext>
          </a:extLst>
        </xdr:cNvPr>
        <xdr:cNvSpPr txBox="1"/>
      </xdr:nvSpPr>
      <xdr:spPr>
        <a:xfrm>
          <a:off x="22198738" y="17449883"/>
          <a:ext cx="1194271"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5A. Integração com Dashboard = 3</a:t>
          </a:r>
        </a:p>
      </xdr:txBody>
    </xdr:sp>
    <xdr:clientData/>
  </xdr:twoCellAnchor>
  <xdr:twoCellAnchor>
    <xdr:from>
      <xdr:col>39</xdr:col>
      <xdr:colOff>416157</xdr:colOff>
      <xdr:row>109</xdr:row>
      <xdr:rowOff>161960</xdr:rowOff>
    </xdr:from>
    <xdr:to>
      <xdr:col>41</xdr:col>
      <xdr:colOff>219808</xdr:colOff>
      <xdr:row>110</xdr:row>
      <xdr:rowOff>12212</xdr:rowOff>
    </xdr:to>
    <xdr:cxnSp macro="">
      <xdr:nvCxnSpPr>
        <xdr:cNvPr id="208" name="Conector de Seta Reta 207">
          <a:extLst>
            <a:ext uri="{FF2B5EF4-FFF2-40B4-BE49-F238E27FC236}">
              <a16:creationId xmlns:a16="http://schemas.microsoft.com/office/drawing/2014/main" id="{D1FB984D-E587-44DC-9367-5C2DC81919BA}"/>
            </a:ext>
          </a:extLst>
        </xdr:cNvPr>
        <xdr:cNvCxnSpPr/>
      </xdr:nvCxnSpPr>
      <xdr:spPr>
        <a:xfrm>
          <a:off x="24190557" y="17811785"/>
          <a:ext cx="1022851" cy="1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267791</xdr:colOff>
      <xdr:row>108</xdr:row>
      <xdr:rowOff>65417</xdr:rowOff>
    </xdr:from>
    <xdr:to>
      <xdr:col>42</xdr:col>
      <xdr:colOff>335081</xdr:colOff>
      <xdr:row>111</xdr:row>
      <xdr:rowOff>144794</xdr:rowOff>
    </xdr:to>
    <xdr:grpSp>
      <xdr:nvGrpSpPr>
        <xdr:cNvPr id="209" name="Agrupar 208">
          <a:extLst>
            <a:ext uri="{FF2B5EF4-FFF2-40B4-BE49-F238E27FC236}">
              <a16:creationId xmlns:a16="http://schemas.microsoft.com/office/drawing/2014/main" id="{97BE4EA5-4C05-45F3-8E6C-873F0FCF9F3C}"/>
            </a:ext>
          </a:extLst>
        </xdr:cNvPr>
        <xdr:cNvGrpSpPr/>
      </xdr:nvGrpSpPr>
      <xdr:grpSpPr>
        <a:xfrm>
          <a:off x="29242841" y="18020042"/>
          <a:ext cx="676890" cy="565152"/>
          <a:chOff x="3888010" y="1017550"/>
          <a:chExt cx="548564" cy="520994"/>
        </a:xfrm>
      </xdr:grpSpPr>
      <xdr:sp macro="" textlink="">
        <xdr:nvSpPr>
          <xdr:cNvPr id="210" name="Elipse 209">
            <a:extLst>
              <a:ext uri="{FF2B5EF4-FFF2-40B4-BE49-F238E27FC236}">
                <a16:creationId xmlns:a16="http://schemas.microsoft.com/office/drawing/2014/main" id="{A14CADA8-BF05-4B5C-9425-8BCAFB6EF754}"/>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11" name="CaixaDeTexto 210">
            <a:extLst>
              <a:ext uri="{FF2B5EF4-FFF2-40B4-BE49-F238E27FC236}">
                <a16:creationId xmlns:a16="http://schemas.microsoft.com/office/drawing/2014/main" id="{51280B7F-28A7-467E-BDF6-8C2C31BDA634}"/>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41</a:t>
            </a:r>
          </a:p>
        </xdr:txBody>
      </xdr:sp>
    </xdr:grpSp>
    <xdr:clientData/>
  </xdr:twoCellAnchor>
  <xdr:twoCellAnchor>
    <xdr:from>
      <xdr:col>39</xdr:col>
      <xdr:colOff>427403</xdr:colOff>
      <xdr:row>107</xdr:row>
      <xdr:rowOff>109904</xdr:rowOff>
    </xdr:from>
    <xdr:to>
      <xdr:col>41</xdr:col>
      <xdr:colOff>247116</xdr:colOff>
      <xdr:row>110</xdr:row>
      <xdr:rowOff>71278</xdr:rowOff>
    </xdr:to>
    <xdr:sp macro="" textlink="">
      <xdr:nvSpPr>
        <xdr:cNvPr id="212" name="CaixaDeTexto 211">
          <a:extLst>
            <a:ext uri="{FF2B5EF4-FFF2-40B4-BE49-F238E27FC236}">
              <a16:creationId xmlns:a16="http://schemas.microsoft.com/office/drawing/2014/main" id="{8542146D-70A0-4853-8F61-969E2F59FB32}"/>
            </a:ext>
          </a:extLst>
        </xdr:cNvPr>
        <xdr:cNvSpPr txBox="1"/>
      </xdr:nvSpPr>
      <xdr:spPr>
        <a:xfrm>
          <a:off x="24201803" y="17435879"/>
          <a:ext cx="1038913"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5B. Testes</a:t>
          </a:r>
          <a:r>
            <a:rPr lang="pt-BR" sz="1000" b="1" u="none" baseline="0">
              <a:ln>
                <a:noFill/>
              </a:ln>
              <a:solidFill>
                <a:schemeClr val="dk1"/>
              </a:solidFill>
              <a:latin typeface="+mn-lt"/>
              <a:ea typeface="+mn-ea"/>
              <a:cs typeface="+mn-cs"/>
            </a:rPr>
            <a:t> de Usabilidade = 3</a:t>
          </a:r>
          <a:endParaRPr lang="pt-BR" sz="1000" b="1" u="none">
            <a:ln>
              <a:noFill/>
            </a:ln>
            <a:solidFill>
              <a:schemeClr val="dk1"/>
            </a:solidFill>
            <a:latin typeface="+mn-lt"/>
            <a:ea typeface="+mn-ea"/>
            <a:cs typeface="+mn-cs"/>
          </a:endParaRPr>
        </a:p>
      </xdr:txBody>
    </xdr:sp>
    <xdr:clientData/>
  </xdr:twoCellAnchor>
  <xdr:twoCellAnchor>
    <xdr:from>
      <xdr:col>42</xdr:col>
      <xdr:colOff>358910</xdr:colOff>
      <xdr:row>109</xdr:row>
      <xdr:rowOff>146538</xdr:rowOff>
    </xdr:from>
    <xdr:to>
      <xdr:col>44</xdr:col>
      <xdr:colOff>293077</xdr:colOff>
      <xdr:row>109</xdr:row>
      <xdr:rowOff>160055</xdr:rowOff>
    </xdr:to>
    <xdr:cxnSp macro="">
      <xdr:nvCxnSpPr>
        <xdr:cNvPr id="213" name="Conector de Seta Reta 212">
          <a:extLst>
            <a:ext uri="{FF2B5EF4-FFF2-40B4-BE49-F238E27FC236}">
              <a16:creationId xmlns:a16="http://schemas.microsoft.com/office/drawing/2014/main" id="{782842B3-97E3-4627-9012-F4D9E0F66690}"/>
            </a:ext>
          </a:extLst>
        </xdr:cNvPr>
        <xdr:cNvCxnSpPr/>
      </xdr:nvCxnSpPr>
      <xdr:spPr>
        <a:xfrm flipV="1">
          <a:off x="25962110" y="17796363"/>
          <a:ext cx="1153367" cy="135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325901</xdr:colOff>
      <xdr:row>107</xdr:row>
      <xdr:rowOff>93883</xdr:rowOff>
    </xdr:from>
    <xdr:to>
      <xdr:col>44</xdr:col>
      <xdr:colOff>147518</xdr:colOff>
      <xdr:row>110</xdr:row>
      <xdr:rowOff>55257</xdr:rowOff>
    </xdr:to>
    <xdr:sp macro="" textlink="">
      <xdr:nvSpPr>
        <xdr:cNvPr id="214" name="CaixaDeTexto 213">
          <a:extLst>
            <a:ext uri="{FF2B5EF4-FFF2-40B4-BE49-F238E27FC236}">
              <a16:creationId xmlns:a16="http://schemas.microsoft.com/office/drawing/2014/main" id="{2522AA6E-8D46-467D-9D9F-EB33930FC5F0}"/>
            </a:ext>
          </a:extLst>
        </xdr:cNvPr>
        <xdr:cNvSpPr txBox="1"/>
      </xdr:nvSpPr>
      <xdr:spPr>
        <a:xfrm>
          <a:off x="25929101" y="17419858"/>
          <a:ext cx="1040817"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5C. Integração</a:t>
          </a:r>
          <a:r>
            <a:rPr lang="pt-BR" sz="1000" b="1" u="none" baseline="0">
              <a:ln>
                <a:noFill/>
              </a:ln>
              <a:solidFill>
                <a:schemeClr val="dk1"/>
              </a:solidFill>
              <a:latin typeface="+mn-lt"/>
              <a:ea typeface="+mn-ea"/>
              <a:cs typeface="+mn-cs"/>
            </a:rPr>
            <a:t> Geral = 3</a:t>
          </a:r>
          <a:endParaRPr lang="pt-BR" sz="1000" b="1" u="none">
            <a:ln>
              <a:noFill/>
            </a:ln>
            <a:solidFill>
              <a:schemeClr val="dk1"/>
            </a:solidFill>
            <a:latin typeface="+mn-lt"/>
            <a:ea typeface="+mn-ea"/>
            <a:cs typeface="+mn-cs"/>
          </a:endParaRPr>
        </a:p>
      </xdr:txBody>
    </xdr:sp>
    <xdr:clientData/>
  </xdr:twoCellAnchor>
  <xdr:twoCellAnchor>
    <xdr:from>
      <xdr:col>44</xdr:col>
      <xdr:colOff>334710</xdr:colOff>
      <xdr:row>108</xdr:row>
      <xdr:rowOff>46856</xdr:rowOff>
    </xdr:from>
    <xdr:to>
      <xdr:col>45</xdr:col>
      <xdr:colOff>398190</xdr:colOff>
      <xdr:row>111</xdr:row>
      <xdr:rowOff>126233</xdr:rowOff>
    </xdr:to>
    <xdr:grpSp>
      <xdr:nvGrpSpPr>
        <xdr:cNvPr id="215" name="Agrupar 214">
          <a:extLst>
            <a:ext uri="{FF2B5EF4-FFF2-40B4-BE49-F238E27FC236}">
              <a16:creationId xmlns:a16="http://schemas.microsoft.com/office/drawing/2014/main" id="{DA6304C6-AF3B-4F81-B37A-EAFA2AC7BCE1}"/>
            </a:ext>
          </a:extLst>
        </xdr:cNvPr>
        <xdr:cNvGrpSpPr/>
      </xdr:nvGrpSpPr>
      <xdr:grpSpPr>
        <a:xfrm>
          <a:off x="31138560" y="18001481"/>
          <a:ext cx="673080" cy="565152"/>
          <a:chOff x="3888010" y="1017550"/>
          <a:chExt cx="548564" cy="520994"/>
        </a:xfrm>
      </xdr:grpSpPr>
      <xdr:sp macro="" textlink="">
        <xdr:nvSpPr>
          <xdr:cNvPr id="216" name="Elipse 215">
            <a:extLst>
              <a:ext uri="{FF2B5EF4-FFF2-40B4-BE49-F238E27FC236}">
                <a16:creationId xmlns:a16="http://schemas.microsoft.com/office/drawing/2014/main" id="{CB155153-E329-4D03-8412-3DF41B3D6ACF}"/>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17" name="CaixaDeTexto 216">
            <a:extLst>
              <a:ext uri="{FF2B5EF4-FFF2-40B4-BE49-F238E27FC236}">
                <a16:creationId xmlns:a16="http://schemas.microsoft.com/office/drawing/2014/main" id="{46D308AB-9832-4639-A136-BDA90F6339A3}"/>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42</a:t>
            </a:r>
          </a:p>
        </xdr:txBody>
      </xdr:sp>
    </xdr:grpSp>
    <xdr:clientData/>
  </xdr:twoCellAnchor>
  <xdr:twoCellAnchor>
    <xdr:from>
      <xdr:col>21</xdr:col>
      <xdr:colOff>586601</xdr:colOff>
      <xdr:row>96</xdr:row>
      <xdr:rowOff>113279</xdr:rowOff>
    </xdr:from>
    <xdr:to>
      <xdr:col>28</xdr:col>
      <xdr:colOff>461818</xdr:colOff>
      <xdr:row>105</xdr:row>
      <xdr:rowOff>57727</xdr:rowOff>
    </xdr:to>
    <xdr:cxnSp macro="">
      <xdr:nvCxnSpPr>
        <xdr:cNvPr id="218" name="Conector: Angulado 217">
          <a:extLst>
            <a:ext uri="{FF2B5EF4-FFF2-40B4-BE49-F238E27FC236}">
              <a16:creationId xmlns:a16="http://schemas.microsoft.com/office/drawing/2014/main" id="{CB1E8D8D-B3C1-4E6B-BB3B-9E7ED34F1AC4}"/>
            </a:ext>
          </a:extLst>
        </xdr:cNvPr>
        <xdr:cNvCxnSpPr>
          <a:stCxn id="124" idx="4"/>
        </xdr:cNvCxnSpPr>
      </xdr:nvCxnSpPr>
      <xdr:spPr>
        <a:xfrm rot="16200000" flipH="1">
          <a:off x="14758523" y="14287757"/>
          <a:ext cx="1401773" cy="4142417"/>
        </a:xfrm>
        <a:prstGeom prst="bentConnector2">
          <a:avLst/>
        </a:prstGeom>
        <a:ln w="19050"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29</xdr:col>
      <xdr:colOff>216478</xdr:colOff>
      <xdr:row>101</xdr:row>
      <xdr:rowOff>149551</xdr:rowOff>
    </xdr:from>
    <xdr:to>
      <xdr:col>29</xdr:col>
      <xdr:colOff>219617</xdr:colOff>
      <xdr:row>104</xdr:row>
      <xdr:rowOff>14432</xdr:rowOff>
    </xdr:to>
    <xdr:cxnSp macro="">
      <xdr:nvCxnSpPr>
        <xdr:cNvPr id="219" name="Conector de Seta Reta 218">
          <a:extLst>
            <a:ext uri="{FF2B5EF4-FFF2-40B4-BE49-F238E27FC236}">
              <a16:creationId xmlns:a16="http://schemas.microsoft.com/office/drawing/2014/main" id="{6ECD74EF-8FE0-4D11-8A7B-366F777294FC}"/>
            </a:ext>
          </a:extLst>
        </xdr:cNvPr>
        <xdr:cNvCxnSpPr>
          <a:stCxn id="143" idx="4"/>
        </xdr:cNvCxnSpPr>
      </xdr:nvCxnSpPr>
      <xdr:spPr>
        <a:xfrm flipH="1">
          <a:off x="17894878" y="16503976"/>
          <a:ext cx="3139" cy="350656"/>
        </a:xfrm>
        <a:prstGeom prst="straightConnector1">
          <a:avLst/>
        </a:prstGeom>
        <a:ln w="9525" cap="flat" cmpd="sng" algn="ctr">
          <a:solidFill>
            <a:schemeClr val="accent2"/>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28</xdr:col>
      <xdr:colOff>542488</xdr:colOff>
      <xdr:row>104</xdr:row>
      <xdr:rowOff>53718</xdr:rowOff>
    </xdr:from>
    <xdr:to>
      <xdr:col>29</xdr:col>
      <xdr:colOff>578164</xdr:colOff>
      <xdr:row>107</xdr:row>
      <xdr:rowOff>133662</xdr:rowOff>
    </xdr:to>
    <xdr:grpSp>
      <xdr:nvGrpSpPr>
        <xdr:cNvPr id="220" name="Agrupar 219">
          <a:extLst>
            <a:ext uri="{FF2B5EF4-FFF2-40B4-BE49-F238E27FC236}">
              <a16:creationId xmlns:a16="http://schemas.microsoft.com/office/drawing/2014/main" id="{815A20B9-C75B-4A5C-8F7A-4411F08E4981}"/>
            </a:ext>
          </a:extLst>
        </xdr:cNvPr>
        <xdr:cNvGrpSpPr/>
      </xdr:nvGrpSpPr>
      <xdr:grpSpPr>
        <a:xfrm>
          <a:off x="21592738" y="17360643"/>
          <a:ext cx="645276" cy="565719"/>
          <a:chOff x="3885187" y="1015869"/>
          <a:chExt cx="551387" cy="524356"/>
        </a:xfrm>
      </xdr:grpSpPr>
      <xdr:sp macro="" textlink="">
        <xdr:nvSpPr>
          <xdr:cNvPr id="221" name="Elipse 220">
            <a:extLst>
              <a:ext uri="{FF2B5EF4-FFF2-40B4-BE49-F238E27FC236}">
                <a16:creationId xmlns:a16="http://schemas.microsoft.com/office/drawing/2014/main" id="{84D71E32-33F7-433F-927C-095B401F6218}"/>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22" name="CaixaDeTexto 221">
            <a:extLst>
              <a:ext uri="{FF2B5EF4-FFF2-40B4-BE49-F238E27FC236}">
                <a16:creationId xmlns:a16="http://schemas.microsoft.com/office/drawing/2014/main" id="{64F73609-05C8-4E5B-893E-2238F22898A9}"/>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43</a:t>
            </a:r>
          </a:p>
        </xdr:txBody>
      </xdr:sp>
    </xdr:grpSp>
    <xdr:clientData/>
  </xdr:twoCellAnchor>
  <xdr:twoCellAnchor>
    <xdr:from>
      <xdr:col>29</xdr:col>
      <xdr:colOff>238125</xdr:colOff>
      <xdr:row>108</xdr:row>
      <xdr:rowOff>3500</xdr:rowOff>
    </xdr:from>
    <xdr:to>
      <xdr:col>29</xdr:col>
      <xdr:colOff>264653</xdr:colOff>
      <xdr:row>113</xdr:row>
      <xdr:rowOff>31750</xdr:rowOff>
    </xdr:to>
    <xdr:cxnSp macro="">
      <xdr:nvCxnSpPr>
        <xdr:cNvPr id="223" name="Conector de Seta Reta 222">
          <a:extLst>
            <a:ext uri="{FF2B5EF4-FFF2-40B4-BE49-F238E27FC236}">
              <a16:creationId xmlns:a16="http://schemas.microsoft.com/office/drawing/2014/main" id="{1F19C220-314D-4112-A681-A908F56BCEE0}"/>
            </a:ext>
          </a:extLst>
        </xdr:cNvPr>
        <xdr:cNvCxnSpPr/>
      </xdr:nvCxnSpPr>
      <xdr:spPr>
        <a:xfrm flipH="1">
          <a:off x="17916525" y="17491400"/>
          <a:ext cx="26528" cy="8378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591300</xdr:colOff>
      <xdr:row>113</xdr:row>
      <xdr:rowOff>109082</xdr:rowOff>
    </xdr:from>
    <xdr:to>
      <xdr:col>30</xdr:col>
      <xdr:colOff>16096</xdr:colOff>
      <xdr:row>117</xdr:row>
      <xdr:rowOff>22656</xdr:rowOff>
    </xdr:to>
    <xdr:grpSp>
      <xdr:nvGrpSpPr>
        <xdr:cNvPr id="224" name="Agrupar 223">
          <a:extLst>
            <a:ext uri="{FF2B5EF4-FFF2-40B4-BE49-F238E27FC236}">
              <a16:creationId xmlns:a16="http://schemas.microsoft.com/office/drawing/2014/main" id="{1AF43B1A-00E4-4D9E-A7B2-9808590B3383}"/>
            </a:ext>
          </a:extLst>
        </xdr:cNvPr>
        <xdr:cNvGrpSpPr/>
      </xdr:nvGrpSpPr>
      <xdr:grpSpPr>
        <a:xfrm>
          <a:off x="21641550" y="18873332"/>
          <a:ext cx="643996" cy="561274"/>
          <a:chOff x="3885187" y="1015869"/>
          <a:chExt cx="551387" cy="524356"/>
        </a:xfrm>
      </xdr:grpSpPr>
      <xdr:sp macro="" textlink="">
        <xdr:nvSpPr>
          <xdr:cNvPr id="225" name="Elipse 224">
            <a:extLst>
              <a:ext uri="{FF2B5EF4-FFF2-40B4-BE49-F238E27FC236}">
                <a16:creationId xmlns:a16="http://schemas.microsoft.com/office/drawing/2014/main" id="{358267F5-474B-4357-A054-5A687EA41DFF}"/>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26" name="CaixaDeTexto 225">
            <a:extLst>
              <a:ext uri="{FF2B5EF4-FFF2-40B4-BE49-F238E27FC236}">
                <a16:creationId xmlns:a16="http://schemas.microsoft.com/office/drawing/2014/main" id="{EC630490-42B7-47E2-9BE5-65EEA77CB050}"/>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44</a:t>
            </a:r>
          </a:p>
        </xdr:txBody>
      </xdr:sp>
    </xdr:grpSp>
    <xdr:clientData/>
  </xdr:twoCellAnchor>
  <xdr:twoCellAnchor>
    <xdr:from>
      <xdr:col>27</xdr:col>
      <xdr:colOff>156148</xdr:colOff>
      <xdr:row>108</xdr:row>
      <xdr:rowOff>168941</xdr:rowOff>
    </xdr:from>
    <xdr:to>
      <xdr:col>29</xdr:col>
      <xdr:colOff>203830</xdr:colOff>
      <xdr:row>111</xdr:row>
      <xdr:rowOff>130315</xdr:rowOff>
    </xdr:to>
    <xdr:sp macro="" textlink="">
      <xdr:nvSpPr>
        <xdr:cNvPr id="227" name="CaixaDeTexto 226">
          <a:extLst>
            <a:ext uri="{FF2B5EF4-FFF2-40B4-BE49-F238E27FC236}">
              <a16:creationId xmlns:a16="http://schemas.microsoft.com/office/drawing/2014/main" id="{629891EC-71D9-4D93-B3DB-0CB9A9AA9E7B}"/>
            </a:ext>
          </a:extLst>
        </xdr:cNvPr>
        <xdr:cNvSpPr txBox="1"/>
      </xdr:nvSpPr>
      <xdr:spPr>
        <a:xfrm>
          <a:off x="16615348" y="17647316"/>
          <a:ext cx="1266882" cy="45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5D. Conexão Front-end + Back-end = 3</a:t>
          </a:r>
        </a:p>
      </xdr:txBody>
    </xdr:sp>
    <xdr:clientData/>
  </xdr:twoCellAnchor>
  <xdr:twoCellAnchor>
    <xdr:from>
      <xdr:col>30</xdr:col>
      <xdr:colOff>28183</xdr:colOff>
      <xdr:row>115</xdr:row>
      <xdr:rowOff>115510</xdr:rowOff>
    </xdr:from>
    <xdr:to>
      <xdr:col>32</xdr:col>
      <xdr:colOff>451938</xdr:colOff>
      <xdr:row>115</xdr:row>
      <xdr:rowOff>116117</xdr:rowOff>
    </xdr:to>
    <xdr:cxnSp macro="">
      <xdr:nvCxnSpPr>
        <xdr:cNvPr id="228" name="Conector de Seta Reta 227">
          <a:extLst>
            <a:ext uri="{FF2B5EF4-FFF2-40B4-BE49-F238E27FC236}">
              <a16:creationId xmlns:a16="http://schemas.microsoft.com/office/drawing/2014/main" id="{9BBC9326-6D4A-4E53-9820-0B6A744EDD1B}"/>
            </a:ext>
          </a:extLst>
        </xdr:cNvPr>
        <xdr:cNvCxnSpPr/>
      </xdr:nvCxnSpPr>
      <xdr:spPr>
        <a:xfrm flipV="1">
          <a:off x="18316183" y="18736885"/>
          <a:ext cx="1642955" cy="60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538331</xdr:colOff>
      <xdr:row>113</xdr:row>
      <xdr:rowOff>45332</xdr:rowOff>
    </xdr:from>
    <xdr:to>
      <xdr:col>32</xdr:col>
      <xdr:colOff>303069</xdr:colOff>
      <xdr:row>116</xdr:row>
      <xdr:rowOff>17328</xdr:rowOff>
    </xdr:to>
    <xdr:sp macro="" textlink="">
      <xdr:nvSpPr>
        <xdr:cNvPr id="229" name="CaixaDeTexto 228">
          <a:extLst>
            <a:ext uri="{FF2B5EF4-FFF2-40B4-BE49-F238E27FC236}">
              <a16:creationId xmlns:a16="http://schemas.microsoft.com/office/drawing/2014/main" id="{32CD7EF7-DDED-48C7-A3DD-AA1D4E939FE4}"/>
            </a:ext>
          </a:extLst>
        </xdr:cNvPr>
        <xdr:cNvSpPr txBox="1"/>
      </xdr:nvSpPr>
      <xdr:spPr>
        <a:xfrm>
          <a:off x="18216731" y="18342857"/>
          <a:ext cx="1593538" cy="45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5E. Atualização em Tempo Real</a:t>
          </a:r>
          <a:r>
            <a:rPr lang="pt-BR" sz="1000" b="1" u="none" baseline="0">
              <a:ln>
                <a:noFill/>
              </a:ln>
              <a:solidFill>
                <a:schemeClr val="dk1"/>
              </a:solidFill>
              <a:latin typeface="+mn-lt"/>
              <a:ea typeface="+mn-ea"/>
              <a:cs typeface="+mn-cs"/>
            </a:rPr>
            <a:t> (ou simulação) = 3</a:t>
          </a:r>
          <a:endParaRPr lang="pt-BR" sz="1000" b="1" u="none">
            <a:ln>
              <a:noFill/>
            </a:ln>
            <a:solidFill>
              <a:schemeClr val="dk1"/>
            </a:solidFill>
            <a:latin typeface="+mn-lt"/>
            <a:ea typeface="+mn-ea"/>
            <a:cs typeface="+mn-cs"/>
          </a:endParaRPr>
        </a:p>
      </xdr:txBody>
    </xdr:sp>
    <xdr:clientData/>
  </xdr:twoCellAnchor>
  <xdr:twoCellAnchor>
    <xdr:from>
      <xdr:col>32</xdr:col>
      <xdr:colOff>482927</xdr:colOff>
      <xdr:row>114</xdr:row>
      <xdr:rowOff>67318</xdr:rowOff>
    </xdr:from>
    <xdr:to>
      <xdr:col>33</xdr:col>
      <xdr:colOff>520520</xdr:colOff>
      <xdr:row>117</xdr:row>
      <xdr:rowOff>139642</xdr:rowOff>
    </xdr:to>
    <xdr:grpSp>
      <xdr:nvGrpSpPr>
        <xdr:cNvPr id="230" name="Agrupar 229">
          <a:extLst>
            <a:ext uri="{FF2B5EF4-FFF2-40B4-BE49-F238E27FC236}">
              <a16:creationId xmlns:a16="http://schemas.microsoft.com/office/drawing/2014/main" id="{24A6E2AD-2CBF-4957-8FED-25C78772EF08}"/>
            </a:ext>
          </a:extLst>
        </xdr:cNvPr>
        <xdr:cNvGrpSpPr/>
      </xdr:nvGrpSpPr>
      <xdr:grpSpPr>
        <a:xfrm>
          <a:off x="23971577" y="18993493"/>
          <a:ext cx="647193" cy="558099"/>
          <a:chOff x="3885187" y="1015869"/>
          <a:chExt cx="551387" cy="524356"/>
        </a:xfrm>
      </xdr:grpSpPr>
      <xdr:sp macro="" textlink="">
        <xdr:nvSpPr>
          <xdr:cNvPr id="231" name="Elipse 230">
            <a:extLst>
              <a:ext uri="{FF2B5EF4-FFF2-40B4-BE49-F238E27FC236}">
                <a16:creationId xmlns:a16="http://schemas.microsoft.com/office/drawing/2014/main" id="{32E36375-7818-46C5-8FDD-DCA6617813C3}"/>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32" name="CaixaDeTexto 231">
            <a:extLst>
              <a:ext uri="{FF2B5EF4-FFF2-40B4-BE49-F238E27FC236}">
                <a16:creationId xmlns:a16="http://schemas.microsoft.com/office/drawing/2014/main" id="{BF2E207C-0705-4672-93F7-7FAE4A05B019}"/>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45</a:t>
            </a:r>
          </a:p>
        </xdr:txBody>
      </xdr:sp>
    </xdr:grpSp>
    <xdr:clientData/>
  </xdr:twoCellAnchor>
  <xdr:twoCellAnchor>
    <xdr:from>
      <xdr:col>33</xdr:col>
      <xdr:colOff>480552</xdr:colOff>
      <xdr:row>115</xdr:row>
      <xdr:rowOff>132087</xdr:rowOff>
    </xdr:from>
    <xdr:to>
      <xdr:col>36</xdr:col>
      <xdr:colOff>87312</xdr:colOff>
      <xdr:row>115</xdr:row>
      <xdr:rowOff>142876</xdr:rowOff>
    </xdr:to>
    <xdr:cxnSp macro="">
      <xdr:nvCxnSpPr>
        <xdr:cNvPr id="233" name="Conector de Seta Reta 232">
          <a:extLst>
            <a:ext uri="{FF2B5EF4-FFF2-40B4-BE49-F238E27FC236}">
              <a16:creationId xmlns:a16="http://schemas.microsoft.com/office/drawing/2014/main" id="{E9F011BE-C4F9-4C40-B37F-CC8B334687E6}"/>
            </a:ext>
          </a:extLst>
        </xdr:cNvPr>
        <xdr:cNvCxnSpPr/>
      </xdr:nvCxnSpPr>
      <xdr:spPr>
        <a:xfrm>
          <a:off x="20597352" y="18753462"/>
          <a:ext cx="1435560" cy="10789"/>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143201</xdr:colOff>
      <xdr:row>114</xdr:row>
      <xdr:rowOff>53031</xdr:rowOff>
    </xdr:from>
    <xdr:to>
      <xdr:col>37</xdr:col>
      <xdr:colOff>180794</xdr:colOff>
      <xdr:row>117</xdr:row>
      <xdr:rowOff>125355</xdr:rowOff>
    </xdr:to>
    <xdr:grpSp>
      <xdr:nvGrpSpPr>
        <xdr:cNvPr id="234" name="Agrupar 233">
          <a:extLst>
            <a:ext uri="{FF2B5EF4-FFF2-40B4-BE49-F238E27FC236}">
              <a16:creationId xmlns:a16="http://schemas.microsoft.com/office/drawing/2014/main" id="{C2A24547-C0C6-4D24-9ABD-80F11CFA051E}"/>
            </a:ext>
          </a:extLst>
        </xdr:cNvPr>
        <xdr:cNvGrpSpPr/>
      </xdr:nvGrpSpPr>
      <xdr:grpSpPr>
        <a:xfrm>
          <a:off x="26070251" y="18979206"/>
          <a:ext cx="647193" cy="558099"/>
          <a:chOff x="3885187" y="1015869"/>
          <a:chExt cx="551387" cy="524356"/>
        </a:xfrm>
      </xdr:grpSpPr>
      <xdr:sp macro="" textlink="">
        <xdr:nvSpPr>
          <xdr:cNvPr id="235" name="Elipse 234">
            <a:extLst>
              <a:ext uri="{FF2B5EF4-FFF2-40B4-BE49-F238E27FC236}">
                <a16:creationId xmlns:a16="http://schemas.microsoft.com/office/drawing/2014/main" id="{F1DA5D72-105F-4EF1-A7A9-E26C5902F98F}"/>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36" name="CaixaDeTexto 235">
            <a:extLst>
              <a:ext uri="{FF2B5EF4-FFF2-40B4-BE49-F238E27FC236}">
                <a16:creationId xmlns:a16="http://schemas.microsoft.com/office/drawing/2014/main" id="{3BEBF60D-16D9-4D1F-AC4D-019496348779}"/>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46</a:t>
            </a:r>
          </a:p>
        </xdr:txBody>
      </xdr:sp>
    </xdr:grpSp>
    <xdr:clientData/>
  </xdr:twoCellAnchor>
  <xdr:twoCellAnchor>
    <xdr:from>
      <xdr:col>33</xdr:col>
      <xdr:colOff>393210</xdr:colOff>
      <xdr:row>113</xdr:row>
      <xdr:rowOff>70010</xdr:rowOff>
    </xdr:from>
    <xdr:to>
      <xdr:col>36</xdr:col>
      <xdr:colOff>43962</xdr:colOff>
      <xdr:row>116</xdr:row>
      <xdr:rowOff>42006</xdr:rowOff>
    </xdr:to>
    <xdr:sp macro="" textlink="">
      <xdr:nvSpPr>
        <xdr:cNvPr id="237" name="CaixaDeTexto 236">
          <a:extLst>
            <a:ext uri="{FF2B5EF4-FFF2-40B4-BE49-F238E27FC236}">
              <a16:creationId xmlns:a16="http://schemas.microsoft.com/office/drawing/2014/main" id="{0D526B80-DFC0-4F12-9663-8F7CAA23F1BE}"/>
            </a:ext>
          </a:extLst>
        </xdr:cNvPr>
        <xdr:cNvSpPr txBox="1"/>
      </xdr:nvSpPr>
      <xdr:spPr>
        <a:xfrm>
          <a:off x="20510010" y="18367535"/>
          <a:ext cx="1479552" cy="457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6A. Testes</a:t>
          </a:r>
          <a:r>
            <a:rPr lang="pt-BR" sz="1000" b="1" u="none" baseline="0">
              <a:ln>
                <a:noFill/>
              </a:ln>
              <a:solidFill>
                <a:schemeClr val="dk1"/>
              </a:solidFill>
              <a:latin typeface="+mn-lt"/>
              <a:ea typeface="+mn-ea"/>
              <a:cs typeface="+mn-cs"/>
            </a:rPr>
            <a:t> Unitários (Código e Módulos) = 3</a:t>
          </a:r>
          <a:endParaRPr lang="pt-BR" sz="1000" b="1" u="none">
            <a:ln>
              <a:noFill/>
            </a:ln>
            <a:solidFill>
              <a:schemeClr val="dk1"/>
            </a:solidFill>
            <a:latin typeface="+mn-lt"/>
            <a:ea typeface="+mn-ea"/>
            <a:cs typeface="+mn-cs"/>
          </a:endParaRPr>
        </a:p>
      </xdr:txBody>
    </xdr:sp>
    <xdr:clientData/>
  </xdr:twoCellAnchor>
  <xdr:twoCellAnchor>
    <xdr:from>
      <xdr:col>37</xdr:col>
      <xdr:colOff>237404</xdr:colOff>
      <xdr:row>115</xdr:row>
      <xdr:rowOff>157686</xdr:rowOff>
    </xdr:from>
    <xdr:to>
      <xdr:col>40</xdr:col>
      <xdr:colOff>111125</xdr:colOff>
      <xdr:row>116</xdr:row>
      <xdr:rowOff>7938</xdr:rowOff>
    </xdr:to>
    <xdr:cxnSp macro="">
      <xdr:nvCxnSpPr>
        <xdr:cNvPr id="238" name="Conector de Seta Reta 237">
          <a:extLst>
            <a:ext uri="{FF2B5EF4-FFF2-40B4-BE49-F238E27FC236}">
              <a16:creationId xmlns:a16="http://schemas.microsoft.com/office/drawing/2014/main" id="{64AAD558-E497-42EE-9E58-0D18DA1A7C44}"/>
            </a:ext>
          </a:extLst>
        </xdr:cNvPr>
        <xdr:cNvCxnSpPr/>
      </xdr:nvCxnSpPr>
      <xdr:spPr>
        <a:xfrm>
          <a:off x="22792604" y="18779061"/>
          <a:ext cx="1702521" cy="1217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37</xdr:col>
      <xdr:colOff>159475</xdr:colOff>
      <xdr:row>113</xdr:row>
      <xdr:rowOff>101682</xdr:rowOff>
    </xdr:from>
    <xdr:to>
      <xdr:col>39</xdr:col>
      <xdr:colOff>571500</xdr:colOff>
      <xdr:row>116</xdr:row>
      <xdr:rowOff>63056</xdr:rowOff>
    </xdr:to>
    <xdr:sp macro="" textlink="">
      <xdr:nvSpPr>
        <xdr:cNvPr id="239" name="CaixaDeTexto 238">
          <a:extLst>
            <a:ext uri="{FF2B5EF4-FFF2-40B4-BE49-F238E27FC236}">
              <a16:creationId xmlns:a16="http://schemas.microsoft.com/office/drawing/2014/main" id="{AD34F6F7-A963-47D7-BE5D-C7482D09B1D8}"/>
            </a:ext>
          </a:extLst>
        </xdr:cNvPr>
        <xdr:cNvSpPr txBox="1"/>
      </xdr:nvSpPr>
      <xdr:spPr>
        <a:xfrm>
          <a:off x="22714675" y="18399207"/>
          <a:ext cx="1631225"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6B.</a:t>
          </a:r>
          <a:r>
            <a:rPr lang="pt-BR" sz="1000" b="1" u="none" baseline="0">
              <a:ln>
                <a:noFill/>
              </a:ln>
              <a:solidFill>
                <a:schemeClr val="dk1"/>
              </a:solidFill>
              <a:latin typeface="+mn-lt"/>
              <a:ea typeface="+mn-ea"/>
              <a:cs typeface="+mn-cs"/>
            </a:rPr>
            <a:t> Testes Integrados  (ETL + Dashboard + Chatbot) = 3</a:t>
          </a:r>
          <a:endParaRPr lang="pt-BR" sz="1000" b="1" u="none">
            <a:ln>
              <a:noFill/>
            </a:ln>
            <a:solidFill>
              <a:schemeClr val="dk1"/>
            </a:solidFill>
            <a:latin typeface="+mn-lt"/>
            <a:ea typeface="+mn-ea"/>
            <a:cs typeface="+mn-cs"/>
          </a:endParaRPr>
        </a:p>
      </xdr:txBody>
    </xdr:sp>
    <xdr:clientData/>
  </xdr:twoCellAnchor>
  <xdr:twoCellAnchor>
    <xdr:from>
      <xdr:col>40</xdr:col>
      <xdr:colOff>144789</xdr:colOff>
      <xdr:row>114</xdr:row>
      <xdr:rowOff>62556</xdr:rowOff>
    </xdr:from>
    <xdr:to>
      <xdr:col>41</xdr:col>
      <xdr:colOff>182382</xdr:colOff>
      <xdr:row>117</xdr:row>
      <xdr:rowOff>134880</xdr:rowOff>
    </xdr:to>
    <xdr:grpSp>
      <xdr:nvGrpSpPr>
        <xdr:cNvPr id="240" name="Agrupar 239">
          <a:extLst>
            <a:ext uri="{FF2B5EF4-FFF2-40B4-BE49-F238E27FC236}">
              <a16:creationId xmlns:a16="http://schemas.microsoft.com/office/drawing/2014/main" id="{606C8976-0BD0-45C7-B89A-2584C1A180DE}"/>
            </a:ext>
          </a:extLst>
        </xdr:cNvPr>
        <xdr:cNvGrpSpPr/>
      </xdr:nvGrpSpPr>
      <xdr:grpSpPr>
        <a:xfrm>
          <a:off x="28510239" y="18988731"/>
          <a:ext cx="647193" cy="558099"/>
          <a:chOff x="3885187" y="1015869"/>
          <a:chExt cx="551387" cy="524356"/>
        </a:xfrm>
      </xdr:grpSpPr>
      <xdr:sp macro="" textlink="">
        <xdr:nvSpPr>
          <xdr:cNvPr id="241" name="Elipse 240">
            <a:extLst>
              <a:ext uri="{FF2B5EF4-FFF2-40B4-BE49-F238E27FC236}">
                <a16:creationId xmlns:a16="http://schemas.microsoft.com/office/drawing/2014/main" id="{F33692EB-C810-4502-8190-5F1A34D97344}"/>
              </a:ext>
            </a:extLst>
          </xdr:cNvPr>
          <xdr:cNvSpPr/>
        </xdr:nvSpPr>
        <xdr:spPr>
          <a:xfrm>
            <a:off x="3885187" y="1015869"/>
            <a:ext cx="536811" cy="524356"/>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42" name="CaixaDeTexto 241">
            <a:extLst>
              <a:ext uri="{FF2B5EF4-FFF2-40B4-BE49-F238E27FC236}">
                <a16:creationId xmlns:a16="http://schemas.microsoft.com/office/drawing/2014/main" id="{1FD7622A-EF71-46D6-A1E3-FB848C909CAC}"/>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47</a:t>
            </a:r>
          </a:p>
        </xdr:txBody>
      </xdr:sp>
    </xdr:grpSp>
    <xdr:clientData/>
  </xdr:twoCellAnchor>
  <xdr:twoCellAnchor>
    <xdr:from>
      <xdr:col>41</xdr:col>
      <xdr:colOff>209684</xdr:colOff>
      <xdr:row>115</xdr:row>
      <xdr:rowOff>153707</xdr:rowOff>
    </xdr:from>
    <xdr:to>
      <xdr:col>44</xdr:col>
      <xdr:colOff>301625</xdr:colOff>
      <xdr:row>116</xdr:row>
      <xdr:rowOff>0</xdr:rowOff>
    </xdr:to>
    <xdr:cxnSp macro="">
      <xdr:nvCxnSpPr>
        <xdr:cNvPr id="243" name="Conector de Seta Reta 242">
          <a:extLst>
            <a:ext uri="{FF2B5EF4-FFF2-40B4-BE49-F238E27FC236}">
              <a16:creationId xmlns:a16="http://schemas.microsoft.com/office/drawing/2014/main" id="{F956F4EA-6D3C-4570-8ABA-002E8C7AD22A}"/>
            </a:ext>
          </a:extLst>
        </xdr:cNvPr>
        <xdr:cNvCxnSpPr/>
      </xdr:nvCxnSpPr>
      <xdr:spPr>
        <a:xfrm>
          <a:off x="25203284" y="18775082"/>
          <a:ext cx="1920741" cy="8218"/>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41</xdr:col>
      <xdr:colOff>174625</xdr:colOff>
      <xdr:row>113</xdr:row>
      <xdr:rowOff>47626</xdr:rowOff>
    </xdr:from>
    <xdr:to>
      <xdr:col>44</xdr:col>
      <xdr:colOff>242454</xdr:colOff>
      <xdr:row>116</xdr:row>
      <xdr:rowOff>9000</xdr:rowOff>
    </xdr:to>
    <xdr:sp macro="" textlink="">
      <xdr:nvSpPr>
        <xdr:cNvPr id="244" name="CaixaDeTexto 243">
          <a:extLst>
            <a:ext uri="{FF2B5EF4-FFF2-40B4-BE49-F238E27FC236}">
              <a16:creationId xmlns:a16="http://schemas.microsoft.com/office/drawing/2014/main" id="{01858842-464F-4CBC-AA46-810B9A76F03A}"/>
            </a:ext>
          </a:extLst>
        </xdr:cNvPr>
        <xdr:cNvSpPr txBox="1"/>
      </xdr:nvSpPr>
      <xdr:spPr>
        <a:xfrm>
          <a:off x="25168225" y="18345151"/>
          <a:ext cx="1896629"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6C.</a:t>
          </a:r>
          <a:r>
            <a:rPr lang="pt-BR" sz="1000" b="1" u="none" baseline="0">
              <a:ln>
                <a:noFill/>
              </a:ln>
              <a:solidFill>
                <a:schemeClr val="dk1"/>
              </a:solidFill>
              <a:latin typeface="+mn-lt"/>
              <a:ea typeface="+mn-ea"/>
              <a:cs typeface="+mn-cs"/>
            </a:rPr>
            <a:t> Testes de Segurança (LGPD, Criptografia, Login) = 3</a:t>
          </a:r>
          <a:endParaRPr lang="pt-BR" sz="1000" b="1" u="none">
            <a:ln>
              <a:noFill/>
            </a:ln>
            <a:solidFill>
              <a:schemeClr val="dk1"/>
            </a:solidFill>
            <a:latin typeface="+mn-lt"/>
            <a:ea typeface="+mn-ea"/>
            <a:cs typeface="+mn-cs"/>
          </a:endParaRPr>
        </a:p>
      </xdr:txBody>
    </xdr:sp>
    <xdr:clientData/>
  </xdr:twoCellAnchor>
  <xdr:twoCellAnchor>
    <xdr:from>
      <xdr:col>44</xdr:col>
      <xdr:colOff>344235</xdr:colOff>
      <xdr:row>114</xdr:row>
      <xdr:rowOff>56381</xdr:rowOff>
    </xdr:from>
    <xdr:to>
      <xdr:col>45</xdr:col>
      <xdr:colOff>407715</xdr:colOff>
      <xdr:row>117</xdr:row>
      <xdr:rowOff>135758</xdr:rowOff>
    </xdr:to>
    <xdr:grpSp>
      <xdr:nvGrpSpPr>
        <xdr:cNvPr id="245" name="Agrupar 244">
          <a:extLst>
            <a:ext uri="{FF2B5EF4-FFF2-40B4-BE49-F238E27FC236}">
              <a16:creationId xmlns:a16="http://schemas.microsoft.com/office/drawing/2014/main" id="{F61C204F-9B7D-4ECB-B894-19A4D910166D}"/>
            </a:ext>
          </a:extLst>
        </xdr:cNvPr>
        <xdr:cNvGrpSpPr/>
      </xdr:nvGrpSpPr>
      <xdr:grpSpPr>
        <a:xfrm>
          <a:off x="31148085" y="18982556"/>
          <a:ext cx="673080" cy="565152"/>
          <a:chOff x="3888010" y="1017550"/>
          <a:chExt cx="548564" cy="520994"/>
        </a:xfrm>
      </xdr:grpSpPr>
      <xdr:sp macro="" textlink="">
        <xdr:nvSpPr>
          <xdr:cNvPr id="246" name="Elipse 245">
            <a:extLst>
              <a:ext uri="{FF2B5EF4-FFF2-40B4-BE49-F238E27FC236}">
                <a16:creationId xmlns:a16="http://schemas.microsoft.com/office/drawing/2014/main" id="{C3504EDB-ECE5-4E73-A33C-EDE7ED745F8C}"/>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47" name="CaixaDeTexto 246">
            <a:extLst>
              <a:ext uri="{FF2B5EF4-FFF2-40B4-BE49-F238E27FC236}">
                <a16:creationId xmlns:a16="http://schemas.microsoft.com/office/drawing/2014/main" id="{6C59B032-E891-4895-AD15-F694E72D837D}"/>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48</a:t>
            </a:r>
          </a:p>
        </xdr:txBody>
      </xdr:sp>
    </xdr:grpSp>
    <xdr:clientData/>
  </xdr:twoCellAnchor>
  <xdr:twoCellAnchor>
    <xdr:from>
      <xdr:col>45</xdr:col>
      <xdr:colOff>463684</xdr:colOff>
      <xdr:row>116</xdr:row>
      <xdr:rowOff>2894</xdr:rowOff>
    </xdr:from>
    <xdr:to>
      <xdr:col>48</xdr:col>
      <xdr:colOff>285750</xdr:colOff>
      <xdr:row>116</xdr:row>
      <xdr:rowOff>7938</xdr:rowOff>
    </xdr:to>
    <xdr:cxnSp macro="">
      <xdr:nvCxnSpPr>
        <xdr:cNvPr id="248" name="Conector de Seta Reta 247">
          <a:extLst>
            <a:ext uri="{FF2B5EF4-FFF2-40B4-BE49-F238E27FC236}">
              <a16:creationId xmlns:a16="http://schemas.microsoft.com/office/drawing/2014/main" id="{DCC39366-E9D2-443B-AA22-CC9E6D11148D}"/>
            </a:ext>
          </a:extLst>
        </xdr:cNvPr>
        <xdr:cNvCxnSpPr/>
      </xdr:nvCxnSpPr>
      <xdr:spPr>
        <a:xfrm>
          <a:off x="27895684" y="18786194"/>
          <a:ext cx="1650866" cy="5044"/>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45</xdr:col>
      <xdr:colOff>373061</xdr:colOff>
      <xdr:row>113</xdr:row>
      <xdr:rowOff>63501</xdr:rowOff>
    </xdr:from>
    <xdr:to>
      <xdr:col>48</xdr:col>
      <xdr:colOff>182562</xdr:colOff>
      <xdr:row>116</xdr:row>
      <xdr:rowOff>24875</xdr:rowOff>
    </xdr:to>
    <xdr:sp macro="" textlink="">
      <xdr:nvSpPr>
        <xdr:cNvPr id="249" name="CaixaDeTexto 248">
          <a:extLst>
            <a:ext uri="{FF2B5EF4-FFF2-40B4-BE49-F238E27FC236}">
              <a16:creationId xmlns:a16="http://schemas.microsoft.com/office/drawing/2014/main" id="{F20C68A7-0ABA-4291-844E-0750217A041C}"/>
            </a:ext>
          </a:extLst>
        </xdr:cNvPr>
        <xdr:cNvSpPr txBox="1"/>
      </xdr:nvSpPr>
      <xdr:spPr>
        <a:xfrm>
          <a:off x="27805061" y="18361026"/>
          <a:ext cx="1638301"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6D. Testes de Usabilidade</a:t>
          </a:r>
          <a:r>
            <a:rPr lang="pt-BR" sz="1000" b="1" u="none" baseline="0">
              <a:ln>
                <a:noFill/>
              </a:ln>
              <a:solidFill>
                <a:schemeClr val="dk1"/>
              </a:solidFill>
              <a:latin typeface="+mn-lt"/>
              <a:ea typeface="+mn-ea"/>
              <a:cs typeface="+mn-cs"/>
            </a:rPr>
            <a:t> e Responsividade = 3</a:t>
          </a:r>
          <a:endParaRPr lang="pt-BR" sz="1000" b="1" u="none">
            <a:ln>
              <a:noFill/>
            </a:ln>
            <a:solidFill>
              <a:schemeClr val="dk1"/>
            </a:solidFill>
            <a:latin typeface="+mn-lt"/>
            <a:ea typeface="+mn-ea"/>
            <a:cs typeface="+mn-cs"/>
          </a:endParaRPr>
        </a:p>
      </xdr:txBody>
    </xdr:sp>
    <xdr:clientData/>
  </xdr:twoCellAnchor>
  <xdr:twoCellAnchor>
    <xdr:from>
      <xdr:col>48</xdr:col>
      <xdr:colOff>298197</xdr:colOff>
      <xdr:row>114</xdr:row>
      <xdr:rowOff>73844</xdr:rowOff>
    </xdr:from>
    <xdr:to>
      <xdr:col>49</xdr:col>
      <xdr:colOff>361677</xdr:colOff>
      <xdr:row>117</xdr:row>
      <xdr:rowOff>153221</xdr:rowOff>
    </xdr:to>
    <xdr:grpSp>
      <xdr:nvGrpSpPr>
        <xdr:cNvPr id="250" name="Agrupar 249">
          <a:extLst>
            <a:ext uri="{FF2B5EF4-FFF2-40B4-BE49-F238E27FC236}">
              <a16:creationId xmlns:a16="http://schemas.microsoft.com/office/drawing/2014/main" id="{A9593D5B-422B-4EC7-A1DB-CB8B05671151}"/>
            </a:ext>
          </a:extLst>
        </xdr:cNvPr>
        <xdr:cNvGrpSpPr/>
      </xdr:nvGrpSpPr>
      <xdr:grpSpPr>
        <a:xfrm>
          <a:off x="33540447" y="19000019"/>
          <a:ext cx="673080" cy="565152"/>
          <a:chOff x="3888010" y="1017550"/>
          <a:chExt cx="548564" cy="520994"/>
        </a:xfrm>
      </xdr:grpSpPr>
      <xdr:sp macro="" textlink="">
        <xdr:nvSpPr>
          <xdr:cNvPr id="251" name="Elipse 250">
            <a:extLst>
              <a:ext uri="{FF2B5EF4-FFF2-40B4-BE49-F238E27FC236}">
                <a16:creationId xmlns:a16="http://schemas.microsoft.com/office/drawing/2014/main" id="{6C66A3A7-7184-472F-897A-A2FEDC91D5A7}"/>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52" name="CaixaDeTexto 251">
            <a:extLst>
              <a:ext uri="{FF2B5EF4-FFF2-40B4-BE49-F238E27FC236}">
                <a16:creationId xmlns:a16="http://schemas.microsoft.com/office/drawing/2014/main" id="{353C782D-7038-46B6-A011-5DEF6F2E78EE}"/>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49</a:t>
            </a:r>
          </a:p>
        </xdr:txBody>
      </xdr:sp>
    </xdr:grpSp>
    <xdr:clientData/>
  </xdr:twoCellAnchor>
  <xdr:twoCellAnchor>
    <xdr:from>
      <xdr:col>49</xdr:col>
      <xdr:colOff>346209</xdr:colOff>
      <xdr:row>116</xdr:row>
      <xdr:rowOff>12419</xdr:rowOff>
    </xdr:from>
    <xdr:to>
      <xdr:col>51</xdr:col>
      <xdr:colOff>500062</xdr:colOff>
      <xdr:row>116</xdr:row>
      <xdr:rowOff>15875</xdr:rowOff>
    </xdr:to>
    <xdr:cxnSp macro="">
      <xdr:nvCxnSpPr>
        <xdr:cNvPr id="253" name="Conector de Seta Reta 252">
          <a:extLst>
            <a:ext uri="{FF2B5EF4-FFF2-40B4-BE49-F238E27FC236}">
              <a16:creationId xmlns:a16="http://schemas.microsoft.com/office/drawing/2014/main" id="{6AAF790B-B0F3-40A9-BD04-E62FF76FB985}"/>
            </a:ext>
          </a:extLst>
        </xdr:cNvPr>
        <xdr:cNvCxnSpPr/>
      </xdr:nvCxnSpPr>
      <xdr:spPr>
        <a:xfrm>
          <a:off x="30216609" y="18795719"/>
          <a:ext cx="1373053" cy="3456"/>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49</xdr:col>
      <xdr:colOff>334962</xdr:colOff>
      <xdr:row>113</xdr:row>
      <xdr:rowOff>120651</xdr:rowOff>
    </xdr:from>
    <xdr:to>
      <xdr:col>51</xdr:col>
      <xdr:colOff>311728</xdr:colOff>
      <xdr:row>116</xdr:row>
      <xdr:rowOff>82025</xdr:rowOff>
    </xdr:to>
    <xdr:sp macro="" textlink="">
      <xdr:nvSpPr>
        <xdr:cNvPr id="254" name="CaixaDeTexto 253">
          <a:extLst>
            <a:ext uri="{FF2B5EF4-FFF2-40B4-BE49-F238E27FC236}">
              <a16:creationId xmlns:a16="http://schemas.microsoft.com/office/drawing/2014/main" id="{634BDEB4-7E91-4B81-AD43-AA78DBB7A539}"/>
            </a:ext>
          </a:extLst>
        </xdr:cNvPr>
        <xdr:cNvSpPr txBox="1"/>
      </xdr:nvSpPr>
      <xdr:spPr>
        <a:xfrm>
          <a:off x="30205362" y="18418176"/>
          <a:ext cx="1195966"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6E.</a:t>
          </a:r>
          <a:r>
            <a:rPr lang="pt-BR" sz="1000" b="1" u="none" baseline="0">
              <a:ln>
                <a:noFill/>
              </a:ln>
              <a:solidFill>
                <a:schemeClr val="dk1"/>
              </a:solidFill>
              <a:latin typeface="+mn-lt"/>
              <a:ea typeface="+mn-ea"/>
              <a:cs typeface="+mn-cs"/>
            </a:rPr>
            <a:t> Homologação com a Cannoli = 1</a:t>
          </a:r>
          <a:endParaRPr lang="pt-BR" sz="1000" b="1" u="none">
            <a:ln>
              <a:noFill/>
            </a:ln>
            <a:solidFill>
              <a:schemeClr val="dk1"/>
            </a:solidFill>
            <a:latin typeface="+mn-lt"/>
            <a:ea typeface="+mn-ea"/>
            <a:cs typeface="+mn-cs"/>
          </a:endParaRPr>
        </a:p>
      </xdr:txBody>
    </xdr:sp>
    <xdr:clientData/>
  </xdr:twoCellAnchor>
  <xdr:twoCellAnchor>
    <xdr:from>
      <xdr:col>51</xdr:col>
      <xdr:colOff>553784</xdr:colOff>
      <xdr:row>114</xdr:row>
      <xdr:rowOff>51619</xdr:rowOff>
    </xdr:from>
    <xdr:to>
      <xdr:col>53</xdr:col>
      <xdr:colOff>6077</xdr:colOff>
      <xdr:row>117</xdr:row>
      <xdr:rowOff>130996</xdr:rowOff>
    </xdr:to>
    <xdr:grpSp>
      <xdr:nvGrpSpPr>
        <xdr:cNvPr id="255" name="Agrupar 254">
          <a:extLst>
            <a:ext uri="{FF2B5EF4-FFF2-40B4-BE49-F238E27FC236}">
              <a16:creationId xmlns:a16="http://schemas.microsoft.com/office/drawing/2014/main" id="{5EC6F9F6-31D3-40E7-A3D0-77BDFCE9D080}"/>
            </a:ext>
          </a:extLst>
        </xdr:cNvPr>
        <xdr:cNvGrpSpPr/>
      </xdr:nvGrpSpPr>
      <xdr:grpSpPr>
        <a:xfrm>
          <a:off x="35624834" y="18977794"/>
          <a:ext cx="671493" cy="565152"/>
          <a:chOff x="3888010" y="1017550"/>
          <a:chExt cx="548564" cy="520994"/>
        </a:xfrm>
      </xdr:grpSpPr>
      <xdr:sp macro="" textlink="">
        <xdr:nvSpPr>
          <xdr:cNvPr id="256" name="Elipse 255">
            <a:extLst>
              <a:ext uri="{FF2B5EF4-FFF2-40B4-BE49-F238E27FC236}">
                <a16:creationId xmlns:a16="http://schemas.microsoft.com/office/drawing/2014/main" id="{7D8072C3-6B14-4D4D-8880-4FFE61C29E4B}"/>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57" name="CaixaDeTexto 256">
            <a:extLst>
              <a:ext uri="{FF2B5EF4-FFF2-40B4-BE49-F238E27FC236}">
                <a16:creationId xmlns:a16="http://schemas.microsoft.com/office/drawing/2014/main" id="{15116EFA-091F-4F41-8199-3C47D5BC10EF}"/>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50</a:t>
            </a:r>
          </a:p>
        </xdr:txBody>
      </xdr:sp>
    </xdr:grpSp>
    <xdr:clientData/>
  </xdr:twoCellAnchor>
  <xdr:twoCellAnchor>
    <xdr:from>
      <xdr:col>52</xdr:col>
      <xdr:colOff>601796</xdr:colOff>
      <xdr:row>116</xdr:row>
      <xdr:rowOff>21458</xdr:rowOff>
    </xdr:from>
    <xdr:to>
      <xdr:col>55</xdr:col>
      <xdr:colOff>460120</xdr:colOff>
      <xdr:row>116</xdr:row>
      <xdr:rowOff>21945</xdr:rowOff>
    </xdr:to>
    <xdr:cxnSp macro="">
      <xdr:nvCxnSpPr>
        <xdr:cNvPr id="258" name="Conector de Seta Reta 257">
          <a:extLst>
            <a:ext uri="{FF2B5EF4-FFF2-40B4-BE49-F238E27FC236}">
              <a16:creationId xmlns:a16="http://schemas.microsoft.com/office/drawing/2014/main" id="{74DD72AB-EE0E-4927-9A4E-0A29D0FAB32F}"/>
            </a:ext>
          </a:extLst>
        </xdr:cNvPr>
        <xdr:cNvCxnSpPr>
          <a:endCxn id="261" idx="2"/>
        </xdr:cNvCxnSpPr>
      </xdr:nvCxnSpPr>
      <xdr:spPr>
        <a:xfrm flipV="1">
          <a:off x="32300996" y="18804758"/>
          <a:ext cx="1687124" cy="48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53</xdr:col>
      <xdr:colOff>34926</xdr:colOff>
      <xdr:row>113</xdr:row>
      <xdr:rowOff>114301</xdr:rowOff>
    </xdr:from>
    <xdr:to>
      <xdr:col>55</xdr:col>
      <xdr:colOff>373063</xdr:colOff>
      <xdr:row>116</xdr:row>
      <xdr:rowOff>75675</xdr:rowOff>
    </xdr:to>
    <xdr:sp macro="" textlink="">
      <xdr:nvSpPr>
        <xdr:cNvPr id="259" name="CaixaDeTexto 258">
          <a:extLst>
            <a:ext uri="{FF2B5EF4-FFF2-40B4-BE49-F238E27FC236}">
              <a16:creationId xmlns:a16="http://schemas.microsoft.com/office/drawing/2014/main" id="{3D38A235-E8BD-4C1F-8EEA-43301BDC5155}"/>
            </a:ext>
          </a:extLst>
        </xdr:cNvPr>
        <xdr:cNvSpPr txBox="1"/>
      </xdr:nvSpPr>
      <xdr:spPr>
        <a:xfrm>
          <a:off x="32343726" y="18411826"/>
          <a:ext cx="1557337"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6F.</a:t>
          </a:r>
          <a:r>
            <a:rPr lang="pt-BR" sz="1000" b="1" u="none" baseline="0">
              <a:ln>
                <a:noFill/>
              </a:ln>
              <a:solidFill>
                <a:schemeClr val="dk1"/>
              </a:solidFill>
              <a:latin typeface="+mn-lt"/>
              <a:ea typeface="+mn-ea"/>
              <a:cs typeface="+mn-cs"/>
            </a:rPr>
            <a:t> Validação com restaurantes parceiros = 1</a:t>
          </a:r>
          <a:endParaRPr lang="pt-BR" sz="1000" b="1" u="none">
            <a:ln>
              <a:noFill/>
            </a:ln>
            <a:solidFill>
              <a:schemeClr val="dk1"/>
            </a:solidFill>
            <a:latin typeface="+mn-lt"/>
            <a:ea typeface="+mn-ea"/>
            <a:cs typeface="+mn-cs"/>
          </a:endParaRPr>
        </a:p>
      </xdr:txBody>
    </xdr:sp>
    <xdr:clientData/>
  </xdr:twoCellAnchor>
  <xdr:twoCellAnchor>
    <xdr:from>
      <xdr:col>55</xdr:col>
      <xdr:colOff>460120</xdr:colOff>
      <xdr:row>114</xdr:row>
      <xdr:rowOff>61144</xdr:rowOff>
    </xdr:from>
    <xdr:to>
      <xdr:col>56</xdr:col>
      <xdr:colOff>523601</xdr:colOff>
      <xdr:row>117</xdr:row>
      <xdr:rowOff>140521</xdr:rowOff>
    </xdr:to>
    <xdr:grpSp>
      <xdr:nvGrpSpPr>
        <xdr:cNvPr id="260" name="Agrupar 259">
          <a:extLst>
            <a:ext uri="{FF2B5EF4-FFF2-40B4-BE49-F238E27FC236}">
              <a16:creationId xmlns:a16="http://schemas.microsoft.com/office/drawing/2014/main" id="{9F014936-B461-4EEC-BBEE-6803D48AB774}"/>
            </a:ext>
          </a:extLst>
        </xdr:cNvPr>
        <xdr:cNvGrpSpPr/>
      </xdr:nvGrpSpPr>
      <xdr:grpSpPr>
        <a:xfrm>
          <a:off x="37969570" y="18987319"/>
          <a:ext cx="673081" cy="565152"/>
          <a:chOff x="3888010" y="1017550"/>
          <a:chExt cx="548564" cy="520994"/>
        </a:xfrm>
      </xdr:grpSpPr>
      <xdr:sp macro="" textlink="">
        <xdr:nvSpPr>
          <xdr:cNvPr id="261" name="Elipse 260">
            <a:extLst>
              <a:ext uri="{FF2B5EF4-FFF2-40B4-BE49-F238E27FC236}">
                <a16:creationId xmlns:a16="http://schemas.microsoft.com/office/drawing/2014/main" id="{F8AF6554-6EC4-413F-8348-B0B6B2E68D47}"/>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62" name="CaixaDeTexto 261">
            <a:extLst>
              <a:ext uri="{FF2B5EF4-FFF2-40B4-BE49-F238E27FC236}">
                <a16:creationId xmlns:a16="http://schemas.microsoft.com/office/drawing/2014/main" id="{CBFFE2DA-8D30-4642-9269-A3E36B7F1385}"/>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51</a:t>
            </a:r>
          </a:p>
        </xdr:txBody>
      </xdr:sp>
    </xdr:grpSp>
    <xdr:clientData/>
  </xdr:twoCellAnchor>
  <xdr:twoCellAnchor>
    <xdr:from>
      <xdr:col>56</xdr:col>
      <xdr:colOff>500196</xdr:colOff>
      <xdr:row>116</xdr:row>
      <xdr:rowOff>7658</xdr:rowOff>
    </xdr:from>
    <xdr:to>
      <xdr:col>59</xdr:col>
      <xdr:colOff>158750</xdr:colOff>
      <xdr:row>116</xdr:row>
      <xdr:rowOff>7938</xdr:rowOff>
    </xdr:to>
    <xdr:cxnSp macro="">
      <xdr:nvCxnSpPr>
        <xdr:cNvPr id="263" name="Conector de Seta Reta 262">
          <a:extLst>
            <a:ext uri="{FF2B5EF4-FFF2-40B4-BE49-F238E27FC236}">
              <a16:creationId xmlns:a16="http://schemas.microsoft.com/office/drawing/2014/main" id="{DBBA0E41-873C-4FD9-9038-397989C7EA4A}"/>
            </a:ext>
          </a:extLst>
        </xdr:cNvPr>
        <xdr:cNvCxnSpPr/>
      </xdr:nvCxnSpPr>
      <xdr:spPr>
        <a:xfrm>
          <a:off x="34637796" y="18790958"/>
          <a:ext cx="1487354" cy="28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59</xdr:col>
      <xdr:colOff>199770</xdr:colOff>
      <xdr:row>114</xdr:row>
      <xdr:rowOff>46856</xdr:rowOff>
    </xdr:from>
    <xdr:to>
      <xdr:col>60</xdr:col>
      <xdr:colOff>263251</xdr:colOff>
      <xdr:row>117</xdr:row>
      <xdr:rowOff>126233</xdr:rowOff>
    </xdr:to>
    <xdr:grpSp>
      <xdr:nvGrpSpPr>
        <xdr:cNvPr id="264" name="Agrupar 263">
          <a:extLst>
            <a:ext uri="{FF2B5EF4-FFF2-40B4-BE49-F238E27FC236}">
              <a16:creationId xmlns:a16="http://schemas.microsoft.com/office/drawing/2014/main" id="{3743FE4B-B661-4781-B041-FB6A047BE274}"/>
            </a:ext>
          </a:extLst>
        </xdr:cNvPr>
        <xdr:cNvGrpSpPr/>
      </xdr:nvGrpSpPr>
      <xdr:grpSpPr>
        <a:xfrm>
          <a:off x="40147620" y="18973031"/>
          <a:ext cx="673081" cy="565152"/>
          <a:chOff x="3888010" y="1017550"/>
          <a:chExt cx="548564" cy="520994"/>
        </a:xfrm>
      </xdr:grpSpPr>
      <xdr:sp macro="" textlink="">
        <xdr:nvSpPr>
          <xdr:cNvPr id="265" name="Elipse 264">
            <a:extLst>
              <a:ext uri="{FF2B5EF4-FFF2-40B4-BE49-F238E27FC236}">
                <a16:creationId xmlns:a16="http://schemas.microsoft.com/office/drawing/2014/main" id="{39D38472-9777-46D6-85F6-661D3CAE586A}"/>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66" name="CaixaDeTexto 265">
            <a:extLst>
              <a:ext uri="{FF2B5EF4-FFF2-40B4-BE49-F238E27FC236}">
                <a16:creationId xmlns:a16="http://schemas.microsoft.com/office/drawing/2014/main" id="{3BB8BE14-2425-44F3-823E-419F4677BB14}"/>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52</a:t>
            </a:r>
          </a:p>
        </xdr:txBody>
      </xdr:sp>
    </xdr:grpSp>
    <xdr:clientData/>
  </xdr:twoCellAnchor>
  <xdr:twoCellAnchor>
    <xdr:from>
      <xdr:col>56</xdr:col>
      <xdr:colOff>539751</xdr:colOff>
      <xdr:row>113</xdr:row>
      <xdr:rowOff>119062</xdr:rowOff>
    </xdr:from>
    <xdr:to>
      <xdr:col>59</xdr:col>
      <xdr:colOff>47626</xdr:colOff>
      <xdr:row>116</xdr:row>
      <xdr:rowOff>80436</xdr:rowOff>
    </xdr:to>
    <xdr:sp macro="" textlink="">
      <xdr:nvSpPr>
        <xdr:cNvPr id="267" name="CaixaDeTexto 266">
          <a:extLst>
            <a:ext uri="{FF2B5EF4-FFF2-40B4-BE49-F238E27FC236}">
              <a16:creationId xmlns:a16="http://schemas.microsoft.com/office/drawing/2014/main" id="{543B57AF-D71B-42A8-9991-A4C772DB9FBA}"/>
            </a:ext>
          </a:extLst>
        </xdr:cNvPr>
        <xdr:cNvSpPr txBox="1"/>
      </xdr:nvSpPr>
      <xdr:spPr>
        <a:xfrm>
          <a:off x="34677351" y="18416587"/>
          <a:ext cx="1336675"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6G.</a:t>
          </a:r>
          <a:r>
            <a:rPr lang="pt-BR" sz="1000" b="1" u="none" baseline="0">
              <a:ln>
                <a:noFill/>
              </a:ln>
              <a:solidFill>
                <a:schemeClr val="dk1"/>
              </a:solidFill>
              <a:latin typeface="+mn-lt"/>
              <a:ea typeface="+mn-ea"/>
              <a:cs typeface="+mn-cs"/>
            </a:rPr>
            <a:t> Treinamento de Stakeholders = 1</a:t>
          </a:r>
          <a:endParaRPr lang="pt-BR" sz="1000" b="1" u="none">
            <a:ln>
              <a:noFill/>
            </a:ln>
            <a:solidFill>
              <a:schemeClr val="dk1"/>
            </a:solidFill>
            <a:latin typeface="+mn-lt"/>
            <a:ea typeface="+mn-ea"/>
            <a:cs typeface="+mn-cs"/>
          </a:endParaRPr>
        </a:p>
      </xdr:txBody>
    </xdr:sp>
    <xdr:clientData/>
  </xdr:twoCellAnchor>
  <xdr:twoCellAnchor>
    <xdr:from>
      <xdr:col>60</xdr:col>
      <xdr:colOff>271596</xdr:colOff>
      <xdr:row>116</xdr:row>
      <xdr:rowOff>7938</xdr:rowOff>
    </xdr:from>
    <xdr:to>
      <xdr:col>62</xdr:col>
      <xdr:colOff>420688</xdr:colOff>
      <xdr:row>116</xdr:row>
      <xdr:rowOff>17183</xdr:rowOff>
    </xdr:to>
    <xdr:cxnSp macro="">
      <xdr:nvCxnSpPr>
        <xdr:cNvPr id="268" name="Conector de Seta Reta 267">
          <a:extLst>
            <a:ext uri="{FF2B5EF4-FFF2-40B4-BE49-F238E27FC236}">
              <a16:creationId xmlns:a16="http://schemas.microsoft.com/office/drawing/2014/main" id="{AE20FE16-3D25-4876-97F8-B2577ACC2EDE}"/>
            </a:ext>
          </a:extLst>
        </xdr:cNvPr>
        <xdr:cNvCxnSpPr/>
      </xdr:nvCxnSpPr>
      <xdr:spPr>
        <a:xfrm flipV="1">
          <a:off x="36847596" y="18791238"/>
          <a:ext cx="1368292" cy="924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60</xdr:col>
      <xdr:colOff>184151</xdr:colOff>
      <xdr:row>113</xdr:row>
      <xdr:rowOff>128587</xdr:rowOff>
    </xdr:from>
    <xdr:to>
      <xdr:col>62</xdr:col>
      <xdr:colOff>303214</xdr:colOff>
      <xdr:row>116</xdr:row>
      <xdr:rowOff>89961</xdr:rowOff>
    </xdr:to>
    <xdr:sp macro="" textlink="">
      <xdr:nvSpPr>
        <xdr:cNvPr id="269" name="CaixaDeTexto 268">
          <a:extLst>
            <a:ext uri="{FF2B5EF4-FFF2-40B4-BE49-F238E27FC236}">
              <a16:creationId xmlns:a16="http://schemas.microsoft.com/office/drawing/2014/main" id="{FF1B0380-E2B9-444B-89E2-EE46D76D57E4}"/>
            </a:ext>
          </a:extLst>
        </xdr:cNvPr>
        <xdr:cNvSpPr txBox="1"/>
      </xdr:nvSpPr>
      <xdr:spPr>
        <a:xfrm>
          <a:off x="36760151" y="18426112"/>
          <a:ext cx="1338263"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7A. Deploy da solução na nuvem = 1</a:t>
          </a:r>
        </a:p>
      </xdr:txBody>
    </xdr:sp>
    <xdr:clientData/>
  </xdr:twoCellAnchor>
  <xdr:twoCellAnchor>
    <xdr:from>
      <xdr:col>62</xdr:col>
      <xdr:colOff>439483</xdr:colOff>
      <xdr:row>114</xdr:row>
      <xdr:rowOff>56381</xdr:rowOff>
    </xdr:from>
    <xdr:to>
      <xdr:col>63</xdr:col>
      <xdr:colOff>502963</xdr:colOff>
      <xdr:row>117</xdr:row>
      <xdr:rowOff>135758</xdr:rowOff>
    </xdr:to>
    <xdr:grpSp>
      <xdr:nvGrpSpPr>
        <xdr:cNvPr id="270" name="Agrupar 269">
          <a:extLst>
            <a:ext uri="{FF2B5EF4-FFF2-40B4-BE49-F238E27FC236}">
              <a16:creationId xmlns:a16="http://schemas.microsoft.com/office/drawing/2014/main" id="{4DC9B4F3-9AC0-4690-A1CF-6D926CAEAAF8}"/>
            </a:ext>
          </a:extLst>
        </xdr:cNvPr>
        <xdr:cNvGrpSpPr/>
      </xdr:nvGrpSpPr>
      <xdr:grpSpPr>
        <a:xfrm>
          <a:off x="42216133" y="18982556"/>
          <a:ext cx="673080" cy="565152"/>
          <a:chOff x="3888010" y="1017550"/>
          <a:chExt cx="548564" cy="520994"/>
        </a:xfrm>
      </xdr:grpSpPr>
      <xdr:sp macro="" textlink="">
        <xdr:nvSpPr>
          <xdr:cNvPr id="271" name="Elipse 270">
            <a:extLst>
              <a:ext uri="{FF2B5EF4-FFF2-40B4-BE49-F238E27FC236}">
                <a16:creationId xmlns:a16="http://schemas.microsoft.com/office/drawing/2014/main" id="{8347DB8B-BDB8-4846-9867-3118F9CF29AA}"/>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72" name="CaixaDeTexto 271">
            <a:extLst>
              <a:ext uri="{FF2B5EF4-FFF2-40B4-BE49-F238E27FC236}">
                <a16:creationId xmlns:a16="http://schemas.microsoft.com/office/drawing/2014/main" id="{4E870A68-B178-4303-8B4D-5057930FC780}"/>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53</a:t>
            </a:r>
          </a:p>
        </xdr:txBody>
      </xdr:sp>
    </xdr:grpSp>
    <xdr:clientData/>
  </xdr:twoCellAnchor>
  <xdr:twoCellAnchor>
    <xdr:from>
      <xdr:col>66</xdr:col>
      <xdr:colOff>60071</xdr:colOff>
      <xdr:row>114</xdr:row>
      <xdr:rowOff>2406</xdr:rowOff>
    </xdr:from>
    <xdr:to>
      <xdr:col>67</xdr:col>
      <xdr:colOff>123551</xdr:colOff>
      <xdr:row>117</xdr:row>
      <xdr:rowOff>81783</xdr:rowOff>
    </xdr:to>
    <xdr:grpSp>
      <xdr:nvGrpSpPr>
        <xdr:cNvPr id="273" name="Agrupar 272">
          <a:extLst>
            <a:ext uri="{FF2B5EF4-FFF2-40B4-BE49-F238E27FC236}">
              <a16:creationId xmlns:a16="http://schemas.microsoft.com/office/drawing/2014/main" id="{01699CB0-2A05-4043-8A49-22D9FA0B1371}"/>
            </a:ext>
          </a:extLst>
        </xdr:cNvPr>
        <xdr:cNvGrpSpPr/>
      </xdr:nvGrpSpPr>
      <xdr:grpSpPr>
        <a:xfrm>
          <a:off x="44275121" y="18928581"/>
          <a:ext cx="673080" cy="565152"/>
          <a:chOff x="3888010" y="1017550"/>
          <a:chExt cx="548564" cy="520994"/>
        </a:xfrm>
      </xdr:grpSpPr>
      <xdr:sp macro="" textlink="">
        <xdr:nvSpPr>
          <xdr:cNvPr id="274" name="Elipse 273">
            <a:extLst>
              <a:ext uri="{FF2B5EF4-FFF2-40B4-BE49-F238E27FC236}">
                <a16:creationId xmlns:a16="http://schemas.microsoft.com/office/drawing/2014/main" id="{995934A0-8468-4912-9B53-8DDAA74D6729}"/>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75" name="CaixaDeTexto 274">
            <a:extLst>
              <a:ext uri="{FF2B5EF4-FFF2-40B4-BE49-F238E27FC236}">
                <a16:creationId xmlns:a16="http://schemas.microsoft.com/office/drawing/2014/main" id="{A00C312E-B63D-4D65-BC20-D335604E9111}"/>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54</a:t>
            </a:r>
          </a:p>
        </xdr:txBody>
      </xdr:sp>
    </xdr:grpSp>
    <xdr:clientData/>
  </xdr:twoCellAnchor>
  <xdr:twoCellAnchor>
    <xdr:from>
      <xdr:col>63</xdr:col>
      <xdr:colOff>455746</xdr:colOff>
      <xdr:row>115</xdr:row>
      <xdr:rowOff>136525</xdr:rowOff>
    </xdr:from>
    <xdr:to>
      <xdr:col>65</xdr:col>
      <xdr:colOff>604838</xdr:colOff>
      <xdr:row>115</xdr:row>
      <xdr:rowOff>145770</xdr:rowOff>
    </xdr:to>
    <xdr:cxnSp macro="">
      <xdr:nvCxnSpPr>
        <xdr:cNvPr id="276" name="Conector de Seta Reta 275">
          <a:extLst>
            <a:ext uri="{FF2B5EF4-FFF2-40B4-BE49-F238E27FC236}">
              <a16:creationId xmlns:a16="http://schemas.microsoft.com/office/drawing/2014/main" id="{DB7AEF26-134D-4416-8604-09CB18356F91}"/>
            </a:ext>
          </a:extLst>
        </xdr:cNvPr>
        <xdr:cNvCxnSpPr/>
      </xdr:nvCxnSpPr>
      <xdr:spPr>
        <a:xfrm flipV="1">
          <a:off x="38860546" y="18757900"/>
          <a:ext cx="1368292" cy="924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63</xdr:col>
      <xdr:colOff>471487</xdr:colOff>
      <xdr:row>113</xdr:row>
      <xdr:rowOff>82550</xdr:rowOff>
    </xdr:from>
    <xdr:to>
      <xdr:col>65</xdr:col>
      <xdr:colOff>493568</xdr:colOff>
      <xdr:row>116</xdr:row>
      <xdr:rowOff>43924</xdr:rowOff>
    </xdr:to>
    <xdr:sp macro="" textlink="">
      <xdr:nvSpPr>
        <xdr:cNvPr id="277" name="CaixaDeTexto 276">
          <a:extLst>
            <a:ext uri="{FF2B5EF4-FFF2-40B4-BE49-F238E27FC236}">
              <a16:creationId xmlns:a16="http://schemas.microsoft.com/office/drawing/2014/main" id="{92270CAE-22F0-4A6A-B074-52042C5E5D26}"/>
            </a:ext>
          </a:extLst>
        </xdr:cNvPr>
        <xdr:cNvSpPr txBox="1"/>
      </xdr:nvSpPr>
      <xdr:spPr>
        <a:xfrm>
          <a:off x="38876287" y="18380075"/>
          <a:ext cx="1241281"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7B. Entrega Oficial da Solução = 1</a:t>
          </a:r>
        </a:p>
      </xdr:txBody>
    </xdr:sp>
    <xdr:clientData/>
  </xdr:twoCellAnchor>
  <xdr:twoCellAnchor>
    <xdr:from>
      <xdr:col>69</xdr:col>
      <xdr:colOff>283907</xdr:colOff>
      <xdr:row>114</xdr:row>
      <xdr:rowOff>51618</xdr:rowOff>
    </xdr:from>
    <xdr:to>
      <xdr:col>70</xdr:col>
      <xdr:colOff>347388</xdr:colOff>
      <xdr:row>117</xdr:row>
      <xdr:rowOff>130995</xdr:rowOff>
    </xdr:to>
    <xdr:grpSp>
      <xdr:nvGrpSpPr>
        <xdr:cNvPr id="278" name="Agrupar 277">
          <a:extLst>
            <a:ext uri="{FF2B5EF4-FFF2-40B4-BE49-F238E27FC236}">
              <a16:creationId xmlns:a16="http://schemas.microsoft.com/office/drawing/2014/main" id="{3FC355A5-B99E-4785-BCDB-D53DD8CB526C}"/>
            </a:ext>
          </a:extLst>
        </xdr:cNvPr>
        <xdr:cNvGrpSpPr/>
      </xdr:nvGrpSpPr>
      <xdr:grpSpPr>
        <a:xfrm>
          <a:off x="46327757" y="18977793"/>
          <a:ext cx="673081" cy="565152"/>
          <a:chOff x="3888010" y="1017550"/>
          <a:chExt cx="548564" cy="520994"/>
        </a:xfrm>
      </xdr:grpSpPr>
      <xdr:sp macro="" textlink="">
        <xdr:nvSpPr>
          <xdr:cNvPr id="279" name="Elipse 278">
            <a:extLst>
              <a:ext uri="{FF2B5EF4-FFF2-40B4-BE49-F238E27FC236}">
                <a16:creationId xmlns:a16="http://schemas.microsoft.com/office/drawing/2014/main" id="{FDB58281-F39F-4417-943D-321877A9A069}"/>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80" name="CaixaDeTexto 279">
            <a:extLst>
              <a:ext uri="{FF2B5EF4-FFF2-40B4-BE49-F238E27FC236}">
                <a16:creationId xmlns:a16="http://schemas.microsoft.com/office/drawing/2014/main" id="{BAD832BC-6963-4DBD-B865-ECB4BFAC18B4}"/>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55</a:t>
            </a:r>
          </a:p>
        </xdr:txBody>
      </xdr:sp>
    </xdr:grpSp>
    <xdr:clientData/>
  </xdr:twoCellAnchor>
  <xdr:twoCellAnchor>
    <xdr:from>
      <xdr:col>67</xdr:col>
      <xdr:colOff>116021</xdr:colOff>
      <xdr:row>116</xdr:row>
      <xdr:rowOff>3175</xdr:rowOff>
    </xdr:from>
    <xdr:to>
      <xdr:col>69</xdr:col>
      <xdr:colOff>265113</xdr:colOff>
      <xdr:row>116</xdr:row>
      <xdr:rowOff>12420</xdr:rowOff>
    </xdr:to>
    <xdr:cxnSp macro="">
      <xdr:nvCxnSpPr>
        <xdr:cNvPr id="281" name="Conector de Seta Reta 280">
          <a:extLst>
            <a:ext uri="{FF2B5EF4-FFF2-40B4-BE49-F238E27FC236}">
              <a16:creationId xmlns:a16="http://schemas.microsoft.com/office/drawing/2014/main" id="{4F25BA89-B9C2-4E5E-9EFC-B8254BB24E38}"/>
            </a:ext>
          </a:extLst>
        </xdr:cNvPr>
        <xdr:cNvCxnSpPr/>
      </xdr:nvCxnSpPr>
      <xdr:spPr>
        <a:xfrm flipV="1">
          <a:off x="40959221" y="18786475"/>
          <a:ext cx="1368292" cy="924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67</xdr:col>
      <xdr:colOff>115887</xdr:colOff>
      <xdr:row>113</xdr:row>
      <xdr:rowOff>115888</xdr:rowOff>
    </xdr:from>
    <xdr:to>
      <xdr:col>69</xdr:col>
      <xdr:colOff>95250</xdr:colOff>
      <xdr:row>116</xdr:row>
      <xdr:rowOff>77262</xdr:rowOff>
    </xdr:to>
    <xdr:sp macro="" textlink="">
      <xdr:nvSpPr>
        <xdr:cNvPr id="282" name="CaixaDeTexto 281">
          <a:extLst>
            <a:ext uri="{FF2B5EF4-FFF2-40B4-BE49-F238E27FC236}">
              <a16:creationId xmlns:a16="http://schemas.microsoft.com/office/drawing/2014/main" id="{8D246F66-04DF-4297-94A6-36283CACB1F1}"/>
            </a:ext>
          </a:extLst>
        </xdr:cNvPr>
        <xdr:cNvSpPr txBox="1"/>
      </xdr:nvSpPr>
      <xdr:spPr>
        <a:xfrm>
          <a:off x="40959087" y="18413413"/>
          <a:ext cx="1198563"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7C. Entrega Oficial da Solução = 1</a:t>
          </a:r>
        </a:p>
      </xdr:txBody>
    </xdr:sp>
    <xdr:clientData/>
  </xdr:twoCellAnchor>
  <xdr:twoCellAnchor>
    <xdr:from>
      <xdr:col>70</xdr:col>
      <xdr:colOff>322397</xdr:colOff>
      <xdr:row>115</xdr:row>
      <xdr:rowOff>153987</xdr:rowOff>
    </xdr:from>
    <xdr:to>
      <xdr:col>72</xdr:col>
      <xdr:colOff>471489</xdr:colOff>
      <xdr:row>116</xdr:row>
      <xdr:rowOff>4482</xdr:rowOff>
    </xdr:to>
    <xdr:cxnSp macro="">
      <xdr:nvCxnSpPr>
        <xdr:cNvPr id="283" name="Conector de Seta Reta 282">
          <a:extLst>
            <a:ext uri="{FF2B5EF4-FFF2-40B4-BE49-F238E27FC236}">
              <a16:creationId xmlns:a16="http://schemas.microsoft.com/office/drawing/2014/main" id="{24BF269E-C39E-4592-9A96-B570FBD1A356}"/>
            </a:ext>
          </a:extLst>
        </xdr:cNvPr>
        <xdr:cNvCxnSpPr/>
      </xdr:nvCxnSpPr>
      <xdr:spPr>
        <a:xfrm flipV="1">
          <a:off x="42994397" y="18775362"/>
          <a:ext cx="1368292" cy="1242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72</xdr:col>
      <xdr:colOff>515683</xdr:colOff>
      <xdr:row>114</xdr:row>
      <xdr:rowOff>37331</xdr:rowOff>
    </xdr:from>
    <xdr:to>
      <xdr:col>73</xdr:col>
      <xdr:colOff>579163</xdr:colOff>
      <xdr:row>117</xdr:row>
      <xdr:rowOff>116708</xdr:rowOff>
    </xdr:to>
    <xdr:grpSp>
      <xdr:nvGrpSpPr>
        <xdr:cNvPr id="284" name="Agrupar 283">
          <a:extLst>
            <a:ext uri="{FF2B5EF4-FFF2-40B4-BE49-F238E27FC236}">
              <a16:creationId xmlns:a16="http://schemas.microsoft.com/office/drawing/2014/main" id="{B17C8F3D-2CD1-4471-BAF1-4C76791AB393}"/>
            </a:ext>
          </a:extLst>
        </xdr:cNvPr>
        <xdr:cNvGrpSpPr/>
      </xdr:nvGrpSpPr>
      <xdr:grpSpPr>
        <a:xfrm>
          <a:off x="48388333" y="18963506"/>
          <a:ext cx="673080" cy="565152"/>
          <a:chOff x="3888010" y="1017550"/>
          <a:chExt cx="548564" cy="520994"/>
        </a:xfrm>
      </xdr:grpSpPr>
      <xdr:sp macro="" textlink="">
        <xdr:nvSpPr>
          <xdr:cNvPr id="285" name="Elipse 284">
            <a:extLst>
              <a:ext uri="{FF2B5EF4-FFF2-40B4-BE49-F238E27FC236}">
                <a16:creationId xmlns:a16="http://schemas.microsoft.com/office/drawing/2014/main" id="{1484E75F-C995-4403-B1F8-A3D60BA01FE0}"/>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86" name="CaixaDeTexto 285">
            <a:extLst>
              <a:ext uri="{FF2B5EF4-FFF2-40B4-BE49-F238E27FC236}">
                <a16:creationId xmlns:a16="http://schemas.microsoft.com/office/drawing/2014/main" id="{84E2193C-EDCC-423B-B352-9DFAAC4B2F27}"/>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56</a:t>
            </a:r>
          </a:p>
        </xdr:txBody>
      </xdr:sp>
    </xdr:grpSp>
    <xdr:clientData/>
  </xdr:twoCellAnchor>
  <xdr:twoCellAnchor>
    <xdr:from>
      <xdr:col>70</xdr:col>
      <xdr:colOff>336428</xdr:colOff>
      <xdr:row>113</xdr:row>
      <xdr:rowOff>95085</xdr:rowOff>
    </xdr:from>
    <xdr:to>
      <xdr:col>72</xdr:col>
      <xdr:colOff>353024</xdr:colOff>
      <xdr:row>116</xdr:row>
      <xdr:rowOff>56459</xdr:rowOff>
    </xdr:to>
    <xdr:sp macro="" textlink="">
      <xdr:nvSpPr>
        <xdr:cNvPr id="287" name="CaixaDeTexto 286">
          <a:extLst>
            <a:ext uri="{FF2B5EF4-FFF2-40B4-BE49-F238E27FC236}">
              <a16:creationId xmlns:a16="http://schemas.microsoft.com/office/drawing/2014/main" id="{A271D115-E234-41D2-B9E4-808D0125FD5D}"/>
            </a:ext>
          </a:extLst>
        </xdr:cNvPr>
        <xdr:cNvSpPr txBox="1"/>
      </xdr:nvSpPr>
      <xdr:spPr>
        <a:xfrm>
          <a:off x="43008428" y="18392610"/>
          <a:ext cx="1235796"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7D. Coleta</a:t>
          </a:r>
          <a:r>
            <a:rPr lang="pt-BR" sz="1000" b="1" u="none" baseline="0">
              <a:ln>
                <a:noFill/>
              </a:ln>
              <a:solidFill>
                <a:schemeClr val="dk1"/>
              </a:solidFill>
              <a:latin typeface="+mn-lt"/>
              <a:ea typeface="+mn-ea"/>
              <a:cs typeface="+mn-cs"/>
            </a:rPr>
            <a:t> de Feedback Incial = 1</a:t>
          </a:r>
          <a:endParaRPr lang="pt-BR" sz="1000" b="1" u="none">
            <a:ln>
              <a:noFill/>
            </a:ln>
            <a:solidFill>
              <a:schemeClr val="dk1"/>
            </a:solidFill>
            <a:latin typeface="+mn-lt"/>
            <a:ea typeface="+mn-ea"/>
            <a:cs typeface="+mn-cs"/>
          </a:endParaRPr>
        </a:p>
      </xdr:txBody>
    </xdr:sp>
    <xdr:clientData/>
  </xdr:twoCellAnchor>
  <xdr:twoCellAnchor>
    <xdr:from>
      <xdr:col>73</xdr:col>
      <xdr:colOff>585922</xdr:colOff>
      <xdr:row>115</xdr:row>
      <xdr:rowOff>156883</xdr:rowOff>
    </xdr:from>
    <xdr:to>
      <xdr:col>76</xdr:col>
      <xdr:colOff>43295</xdr:colOff>
      <xdr:row>116</xdr:row>
      <xdr:rowOff>8659</xdr:rowOff>
    </xdr:to>
    <xdr:cxnSp macro="">
      <xdr:nvCxnSpPr>
        <xdr:cNvPr id="288" name="Conector de Seta Reta 287">
          <a:extLst>
            <a:ext uri="{FF2B5EF4-FFF2-40B4-BE49-F238E27FC236}">
              <a16:creationId xmlns:a16="http://schemas.microsoft.com/office/drawing/2014/main" id="{A45AC615-278D-47B5-B4B0-F756F286C1A6}"/>
            </a:ext>
          </a:extLst>
        </xdr:cNvPr>
        <xdr:cNvCxnSpPr/>
      </xdr:nvCxnSpPr>
      <xdr:spPr>
        <a:xfrm>
          <a:off x="45086722" y="18778258"/>
          <a:ext cx="1286173" cy="1370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76</xdr:col>
      <xdr:colOff>152145</xdr:colOff>
      <xdr:row>114</xdr:row>
      <xdr:rowOff>46856</xdr:rowOff>
    </xdr:from>
    <xdr:to>
      <xdr:col>77</xdr:col>
      <xdr:colOff>215625</xdr:colOff>
      <xdr:row>117</xdr:row>
      <xdr:rowOff>126233</xdr:rowOff>
    </xdr:to>
    <xdr:grpSp>
      <xdr:nvGrpSpPr>
        <xdr:cNvPr id="289" name="Agrupar 288">
          <a:extLst>
            <a:ext uri="{FF2B5EF4-FFF2-40B4-BE49-F238E27FC236}">
              <a16:creationId xmlns:a16="http://schemas.microsoft.com/office/drawing/2014/main" id="{04C55CA3-E01A-4B14-BDEA-DB05623613E0}"/>
            </a:ext>
          </a:extLst>
        </xdr:cNvPr>
        <xdr:cNvGrpSpPr/>
      </xdr:nvGrpSpPr>
      <xdr:grpSpPr>
        <a:xfrm>
          <a:off x="50463195" y="18973031"/>
          <a:ext cx="673080" cy="565152"/>
          <a:chOff x="3888010" y="1017550"/>
          <a:chExt cx="548564" cy="520994"/>
        </a:xfrm>
      </xdr:grpSpPr>
      <xdr:sp macro="" textlink="">
        <xdr:nvSpPr>
          <xdr:cNvPr id="290" name="Elipse 289">
            <a:extLst>
              <a:ext uri="{FF2B5EF4-FFF2-40B4-BE49-F238E27FC236}">
                <a16:creationId xmlns:a16="http://schemas.microsoft.com/office/drawing/2014/main" id="{695119B9-864C-4544-B99D-056DC512AC5D}"/>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91" name="CaixaDeTexto 290">
            <a:extLst>
              <a:ext uri="{FF2B5EF4-FFF2-40B4-BE49-F238E27FC236}">
                <a16:creationId xmlns:a16="http://schemas.microsoft.com/office/drawing/2014/main" id="{B753E76D-1CCC-41AD-BAE3-E6C364559F09}"/>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56</a:t>
            </a:r>
          </a:p>
        </xdr:txBody>
      </xdr:sp>
    </xdr:grpSp>
    <xdr:clientData/>
  </xdr:twoCellAnchor>
  <xdr:twoCellAnchor>
    <xdr:from>
      <xdr:col>73</xdr:col>
      <xdr:colOff>510887</xdr:colOff>
      <xdr:row>113</xdr:row>
      <xdr:rowOff>69273</xdr:rowOff>
    </xdr:from>
    <xdr:to>
      <xdr:col>75</xdr:col>
      <xdr:colOff>467591</xdr:colOff>
      <xdr:row>116</xdr:row>
      <xdr:rowOff>30647</xdr:rowOff>
    </xdr:to>
    <xdr:sp macro="" textlink="">
      <xdr:nvSpPr>
        <xdr:cNvPr id="292" name="CaixaDeTexto 291">
          <a:extLst>
            <a:ext uri="{FF2B5EF4-FFF2-40B4-BE49-F238E27FC236}">
              <a16:creationId xmlns:a16="http://schemas.microsoft.com/office/drawing/2014/main" id="{103BCBE9-C34E-468B-94F9-3E73B613DA4E}"/>
            </a:ext>
          </a:extLst>
        </xdr:cNvPr>
        <xdr:cNvSpPr txBox="1"/>
      </xdr:nvSpPr>
      <xdr:spPr>
        <a:xfrm>
          <a:off x="45011687" y="18366798"/>
          <a:ext cx="1175904"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7E. Documentação</a:t>
          </a:r>
          <a:r>
            <a:rPr lang="pt-BR" sz="1000" b="1" u="none" baseline="0">
              <a:ln>
                <a:noFill/>
              </a:ln>
              <a:solidFill>
                <a:schemeClr val="dk1"/>
              </a:solidFill>
              <a:latin typeface="+mn-lt"/>
              <a:ea typeface="+mn-ea"/>
              <a:cs typeface="+mn-cs"/>
            </a:rPr>
            <a:t> Completa = 1</a:t>
          </a:r>
          <a:endParaRPr lang="pt-BR" sz="1000" b="1" u="none">
            <a:ln>
              <a:noFill/>
            </a:ln>
            <a:solidFill>
              <a:schemeClr val="dk1"/>
            </a:solidFill>
            <a:latin typeface="+mn-lt"/>
            <a:ea typeface="+mn-ea"/>
            <a:cs typeface="+mn-cs"/>
          </a:endParaRPr>
        </a:p>
      </xdr:txBody>
    </xdr:sp>
    <xdr:clientData/>
  </xdr:twoCellAnchor>
  <xdr:twoCellAnchor>
    <xdr:from>
      <xdr:col>77</xdr:col>
      <xdr:colOff>236095</xdr:colOff>
      <xdr:row>115</xdr:row>
      <xdr:rowOff>162079</xdr:rowOff>
    </xdr:from>
    <xdr:to>
      <xdr:col>79</xdr:col>
      <xdr:colOff>299605</xdr:colOff>
      <xdr:row>116</xdr:row>
      <xdr:rowOff>13855</xdr:rowOff>
    </xdr:to>
    <xdr:cxnSp macro="">
      <xdr:nvCxnSpPr>
        <xdr:cNvPr id="293" name="Conector de Seta Reta 292">
          <a:extLst>
            <a:ext uri="{FF2B5EF4-FFF2-40B4-BE49-F238E27FC236}">
              <a16:creationId xmlns:a16="http://schemas.microsoft.com/office/drawing/2014/main" id="{EF43DA18-C854-4EB2-82DC-D1EF7A0D00FB}"/>
            </a:ext>
          </a:extLst>
        </xdr:cNvPr>
        <xdr:cNvCxnSpPr/>
      </xdr:nvCxnSpPr>
      <xdr:spPr>
        <a:xfrm>
          <a:off x="47175295" y="18783454"/>
          <a:ext cx="1282710" cy="1370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79</xdr:col>
      <xdr:colOff>339181</xdr:colOff>
      <xdr:row>114</xdr:row>
      <xdr:rowOff>78028</xdr:rowOff>
    </xdr:from>
    <xdr:to>
      <xdr:col>80</xdr:col>
      <xdr:colOff>402661</xdr:colOff>
      <xdr:row>117</xdr:row>
      <xdr:rowOff>157405</xdr:rowOff>
    </xdr:to>
    <xdr:grpSp>
      <xdr:nvGrpSpPr>
        <xdr:cNvPr id="294" name="Agrupar 293">
          <a:extLst>
            <a:ext uri="{FF2B5EF4-FFF2-40B4-BE49-F238E27FC236}">
              <a16:creationId xmlns:a16="http://schemas.microsoft.com/office/drawing/2014/main" id="{5489F998-CF58-4036-8D69-0F80A7B84EFD}"/>
            </a:ext>
          </a:extLst>
        </xdr:cNvPr>
        <xdr:cNvGrpSpPr/>
      </xdr:nvGrpSpPr>
      <xdr:grpSpPr>
        <a:xfrm>
          <a:off x="52479031" y="19004203"/>
          <a:ext cx="673080" cy="565152"/>
          <a:chOff x="3888010" y="1017550"/>
          <a:chExt cx="548564" cy="520994"/>
        </a:xfrm>
      </xdr:grpSpPr>
      <xdr:sp macro="" textlink="">
        <xdr:nvSpPr>
          <xdr:cNvPr id="295" name="Elipse 294">
            <a:extLst>
              <a:ext uri="{FF2B5EF4-FFF2-40B4-BE49-F238E27FC236}">
                <a16:creationId xmlns:a16="http://schemas.microsoft.com/office/drawing/2014/main" id="{01BDAD81-D331-443F-9104-DF570257D36E}"/>
              </a:ext>
            </a:extLst>
          </xdr:cNvPr>
          <xdr:cNvSpPr/>
        </xdr:nvSpPr>
        <xdr:spPr>
          <a:xfrm>
            <a:off x="3888010" y="1017550"/>
            <a:ext cx="532533" cy="520994"/>
          </a:xfrm>
          <a:prstGeom prst="ellipse">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296" name="CaixaDeTexto 295">
            <a:extLst>
              <a:ext uri="{FF2B5EF4-FFF2-40B4-BE49-F238E27FC236}">
                <a16:creationId xmlns:a16="http://schemas.microsoft.com/office/drawing/2014/main" id="{5B373992-D831-4AB2-8F58-6DD7C9E1E9A1}"/>
              </a:ext>
            </a:extLst>
          </xdr:cNvPr>
          <xdr:cNvSpPr txBox="1"/>
        </xdr:nvSpPr>
        <xdr:spPr>
          <a:xfrm>
            <a:off x="4003712" y="1113211"/>
            <a:ext cx="432862" cy="312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400"/>
              <a:t>57</a:t>
            </a:r>
          </a:p>
        </xdr:txBody>
      </xdr:sp>
    </xdr:grpSp>
    <xdr:clientData/>
  </xdr:twoCellAnchor>
  <xdr:twoCellAnchor>
    <xdr:from>
      <xdr:col>77</xdr:col>
      <xdr:colOff>195696</xdr:colOff>
      <xdr:row>113</xdr:row>
      <xdr:rowOff>83128</xdr:rowOff>
    </xdr:from>
    <xdr:to>
      <xdr:col>79</xdr:col>
      <xdr:colOff>147204</xdr:colOff>
      <xdr:row>116</xdr:row>
      <xdr:rowOff>44502</xdr:rowOff>
    </xdr:to>
    <xdr:sp macro="" textlink="">
      <xdr:nvSpPr>
        <xdr:cNvPr id="297" name="CaixaDeTexto 296">
          <a:extLst>
            <a:ext uri="{FF2B5EF4-FFF2-40B4-BE49-F238E27FC236}">
              <a16:creationId xmlns:a16="http://schemas.microsoft.com/office/drawing/2014/main" id="{8637F701-1DC6-40E7-8480-1D91B441FA5C}"/>
            </a:ext>
          </a:extLst>
        </xdr:cNvPr>
        <xdr:cNvSpPr txBox="1"/>
      </xdr:nvSpPr>
      <xdr:spPr>
        <a:xfrm>
          <a:off x="47134896" y="18380653"/>
          <a:ext cx="1170708" cy="447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pt-BR" sz="1000" b="1" u="none">
              <a:ln>
                <a:noFill/>
              </a:ln>
              <a:solidFill>
                <a:schemeClr val="dk1"/>
              </a:solidFill>
              <a:latin typeface="+mn-lt"/>
              <a:ea typeface="+mn-ea"/>
              <a:cs typeface="+mn-cs"/>
            </a:rPr>
            <a:t>7F. Avaliação de Resultados = 1</a:t>
          </a:r>
        </a:p>
      </xdr:txBody>
    </xdr:sp>
    <xdr:clientData/>
  </xdr:twoCellAnchor>
  <xdr:twoCellAnchor>
    <xdr:from>
      <xdr:col>3</xdr:col>
      <xdr:colOff>899950</xdr:colOff>
      <xdr:row>65</xdr:row>
      <xdr:rowOff>78828</xdr:rowOff>
    </xdr:from>
    <xdr:to>
      <xdr:col>3</xdr:col>
      <xdr:colOff>2102071</xdr:colOff>
      <xdr:row>67</xdr:row>
      <xdr:rowOff>20186</xdr:rowOff>
    </xdr:to>
    <xdr:grpSp>
      <xdr:nvGrpSpPr>
        <xdr:cNvPr id="298" name="Agrupar 297">
          <a:extLst>
            <a:ext uri="{FF2B5EF4-FFF2-40B4-BE49-F238E27FC236}">
              <a16:creationId xmlns:a16="http://schemas.microsoft.com/office/drawing/2014/main" id="{F6A9A117-A048-491C-9B4D-C6EDC57A786C}"/>
            </a:ext>
          </a:extLst>
        </xdr:cNvPr>
        <xdr:cNvGrpSpPr/>
      </xdr:nvGrpSpPr>
      <xdr:grpSpPr>
        <a:xfrm>
          <a:off x="2728750" y="11070678"/>
          <a:ext cx="1202121" cy="265208"/>
          <a:chOff x="1270651" y="1142021"/>
          <a:chExt cx="962398" cy="278860"/>
        </a:xfrm>
      </xdr:grpSpPr>
      <xdr:grpSp>
        <xdr:nvGrpSpPr>
          <xdr:cNvPr id="299" name="Agrupar 298">
            <a:extLst>
              <a:ext uri="{FF2B5EF4-FFF2-40B4-BE49-F238E27FC236}">
                <a16:creationId xmlns:a16="http://schemas.microsoft.com/office/drawing/2014/main" id="{71A4A006-CE01-47DF-AD7D-864F39AD8171}"/>
              </a:ext>
            </a:extLst>
          </xdr:cNvPr>
          <xdr:cNvGrpSpPr/>
        </xdr:nvGrpSpPr>
        <xdr:grpSpPr>
          <a:xfrm>
            <a:off x="1270651" y="1142021"/>
            <a:ext cx="935766" cy="246961"/>
            <a:chOff x="6039971" y="2980766"/>
            <a:chExt cx="1519518" cy="393799"/>
          </a:xfrm>
        </xdr:grpSpPr>
        <xdr:sp macro="" textlink="">
          <xdr:nvSpPr>
            <xdr:cNvPr id="302" name="Retângulo 301">
              <a:extLst>
                <a:ext uri="{FF2B5EF4-FFF2-40B4-BE49-F238E27FC236}">
                  <a16:creationId xmlns:a16="http://schemas.microsoft.com/office/drawing/2014/main" id="{FEF778A0-ECB2-4364-9A57-D8FC76EDB913}"/>
                </a:ext>
              </a:extLst>
            </xdr:cNvPr>
            <xdr:cNvSpPr/>
          </xdr:nvSpPr>
          <xdr:spPr>
            <a:xfrm>
              <a:off x="6039971" y="2980766"/>
              <a:ext cx="762000" cy="39220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
          <xdr:nvSpPr>
            <xdr:cNvPr id="303" name="Retângulo 302">
              <a:extLst>
                <a:ext uri="{FF2B5EF4-FFF2-40B4-BE49-F238E27FC236}">
                  <a16:creationId xmlns:a16="http://schemas.microsoft.com/office/drawing/2014/main" id="{5EC4C688-8B68-4802-B9B5-D671DAFB0455}"/>
                </a:ext>
              </a:extLst>
            </xdr:cNvPr>
            <xdr:cNvSpPr/>
          </xdr:nvSpPr>
          <xdr:spPr>
            <a:xfrm>
              <a:off x="6797489" y="2981842"/>
              <a:ext cx="762000" cy="39272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sp macro="" textlink="">
        <xdr:nvSpPr>
          <xdr:cNvPr id="300" name="CaixaDeTexto 299">
            <a:extLst>
              <a:ext uri="{FF2B5EF4-FFF2-40B4-BE49-F238E27FC236}">
                <a16:creationId xmlns:a16="http://schemas.microsoft.com/office/drawing/2014/main" id="{7CAFBE02-A52C-4FF5-8AF8-B3FCAD14BD30}"/>
              </a:ext>
            </a:extLst>
          </xdr:cNvPr>
          <xdr:cNvSpPr txBox="1"/>
        </xdr:nvSpPr>
        <xdr:spPr>
          <a:xfrm>
            <a:off x="1322473" y="1155795"/>
            <a:ext cx="462237" cy="265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1</a:t>
            </a:r>
          </a:p>
        </xdr:txBody>
      </xdr:sp>
      <xdr:sp macro="" textlink="">
        <xdr:nvSpPr>
          <xdr:cNvPr id="301" name="CaixaDeTexto 300">
            <a:extLst>
              <a:ext uri="{FF2B5EF4-FFF2-40B4-BE49-F238E27FC236}">
                <a16:creationId xmlns:a16="http://schemas.microsoft.com/office/drawing/2014/main" id="{06479786-7534-456E-ABED-371DBBF87A11}"/>
              </a:ext>
            </a:extLst>
          </xdr:cNvPr>
          <xdr:cNvSpPr txBox="1"/>
        </xdr:nvSpPr>
        <xdr:spPr>
          <a:xfrm>
            <a:off x="1743128" y="1153937"/>
            <a:ext cx="489921" cy="19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b="1">
                <a:solidFill>
                  <a:srgbClr val="FF0000"/>
                </a:solidFill>
              </a:rPr>
              <a:t>1</a:t>
            </a:r>
          </a:p>
        </xdr:txBody>
      </xdr:sp>
    </xdr:grpSp>
    <xdr:clientData/>
  </xdr:twoCellAnchor>
  <xdr:twoCellAnchor>
    <xdr:from>
      <xdr:col>3</xdr:col>
      <xdr:colOff>998484</xdr:colOff>
      <xdr:row>63</xdr:row>
      <xdr:rowOff>78827</xdr:rowOff>
    </xdr:from>
    <xdr:to>
      <xdr:col>3</xdr:col>
      <xdr:colOff>1977260</xdr:colOff>
      <xdr:row>64</xdr:row>
      <xdr:rowOff>153275</xdr:rowOff>
    </xdr:to>
    <xdr:grpSp>
      <xdr:nvGrpSpPr>
        <xdr:cNvPr id="304" name="Agrupar 303">
          <a:extLst>
            <a:ext uri="{FF2B5EF4-FFF2-40B4-BE49-F238E27FC236}">
              <a16:creationId xmlns:a16="http://schemas.microsoft.com/office/drawing/2014/main" id="{DE32B13B-3D85-4DF4-830D-B1F2CED3C891}"/>
            </a:ext>
          </a:extLst>
        </xdr:cNvPr>
        <xdr:cNvGrpSpPr/>
      </xdr:nvGrpSpPr>
      <xdr:grpSpPr>
        <a:xfrm>
          <a:off x="2827284" y="10746827"/>
          <a:ext cx="978776" cy="236373"/>
          <a:chOff x="19062700" y="8953501"/>
          <a:chExt cx="1376423" cy="279399"/>
        </a:xfrm>
      </xdr:grpSpPr>
      <xdr:sp macro="" textlink="">
        <xdr:nvSpPr>
          <xdr:cNvPr id="305" name="CaixaDeTexto 304">
            <a:extLst>
              <a:ext uri="{FF2B5EF4-FFF2-40B4-BE49-F238E27FC236}">
                <a16:creationId xmlns:a16="http://schemas.microsoft.com/office/drawing/2014/main" id="{6E118D5C-1C1C-41C0-B142-CE0D7A628568}"/>
              </a:ext>
            </a:extLst>
          </xdr:cNvPr>
          <xdr:cNvSpPr txBox="1"/>
        </xdr:nvSpPr>
        <xdr:spPr>
          <a:xfrm>
            <a:off x="19158728" y="8953501"/>
            <a:ext cx="1280395" cy="27008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dk1"/>
                </a:solidFill>
                <a:effectLst/>
                <a:latin typeface="+mn-lt"/>
                <a:ea typeface="+mn-ea"/>
                <a:cs typeface="+mn-cs"/>
              </a:rPr>
              <a:t>FOLGA</a:t>
            </a:r>
            <a:r>
              <a:rPr lang="pt-BR" sz="1100" b="1" baseline="0">
                <a:solidFill>
                  <a:schemeClr val="dk1"/>
                </a:solidFill>
                <a:effectLst/>
                <a:latin typeface="+mn-lt"/>
                <a:ea typeface="+mn-ea"/>
                <a:cs typeface="+mn-cs"/>
              </a:rPr>
              <a:t> = 0</a:t>
            </a:r>
            <a:endParaRPr lang="pt-BR">
              <a:effectLst/>
            </a:endParaRPr>
          </a:p>
        </xdr:txBody>
      </xdr:sp>
      <xdr:sp macro="" textlink="">
        <xdr:nvSpPr>
          <xdr:cNvPr id="306" name="Retângulo 305">
            <a:extLst>
              <a:ext uri="{FF2B5EF4-FFF2-40B4-BE49-F238E27FC236}">
                <a16:creationId xmlns:a16="http://schemas.microsoft.com/office/drawing/2014/main" id="{F4E213BE-763C-433B-9F26-E55E74881114}"/>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xdr:col>
      <xdr:colOff>2615712</xdr:colOff>
      <xdr:row>61</xdr:row>
      <xdr:rowOff>7326</xdr:rowOff>
    </xdr:from>
    <xdr:to>
      <xdr:col>3</xdr:col>
      <xdr:colOff>3492012</xdr:colOff>
      <xdr:row>62</xdr:row>
      <xdr:rowOff>109659</xdr:rowOff>
    </xdr:to>
    <xdr:grpSp>
      <xdr:nvGrpSpPr>
        <xdr:cNvPr id="307" name="Agrupar 306">
          <a:extLst>
            <a:ext uri="{FF2B5EF4-FFF2-40B4-BE49-F238E27FC236}">
              <a16:creationId xmlns:a16="http://schemas.microsoft.com/office/drawing/2014/main" id="{F2933427-EDEC-41EC-9D41-75FF0E4346B6}"/>
            </a:ext>
          </a:extLst>
        </xdr:cNvPr>
        <xdr:cNvGrpSpPr/>
      </xdr:nvGrpSpPr>
      <xdr:grpSpPr>
        <a:xfrm rot="19596261">
          <a:off x="4444512" y="10351476"/>
          <a:ext cx="876300" cy="264258"/>
          <a:chOff x="19062700" y="8953501"/>
          <a:chExt cx="1202192" cy="279399"/>
        </a:xfrm>
      </xdr:grpSpPr>
      <xdr:sp macro="" textlink="">
        <xdr:nvSpPr>
          <xdr:cNvPr id="308" name="CaixaDeTexto 307">
            <a:extLst>
              <a:ext uri="{FF2B5EF4-FFF2-40B4-BE49-F238E27FC236}">
                <a16:creationId xmlns:a16="http://schemas.microsoft.com/office/drawing/2014/main" id="{BB514EB2-6DE3-4E6F-9096-BCC61A884E56}"/>
              </a:ext>
            </a:extLst>
          </xdr:cNvPr>
          <xdr:cNvSpPr txBox="1"/>
        </xdr:nvSpPr>
        <xdr:spPr>
          <a:xfrm>
            <a:off x="19108989" y="8953501"/>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b="1">
                <a:solidFill>
                  <a:schemeClr val="dk1"/>
                </a:solidFill>
                <a:effectLst/>
                <a:latin typeface="+mn-lt"/>
                <a:ea typeface="+mn-ea"/>
                <a:cs typeface="+mn-cs"/>
              </a:rPr>
              <a:t>FOLGA</a:t>
            </a:r>
            <a:r>
              <a:rPr lang="pt-BR" sz="1100" b="1" baseline="0">
                <a:solidFill>
                  <a:schemeClr val="dk1"/>
                </a:solidFill>
                <a:effectLst/>
                <a:latin typeface="+mn-lt"/>
                <a:ea typeface="+mn-ea"/>
                <a:cs typeface="+mn-cs"/>
              </a:rPr>
              <a:t> = 1</a:t>
            </a:r>
            <a:endParaRPr lang="pt-BR">
              <a:effectLst/>
            </a:endParaRPr>
          </a:p>
        </xdr:txBody>
      </xdr:sp>
      <xdr:sp macro="" textlink="">
        <xdr:nvSpPr>
          <xdr:cNvPr id="309" name="Retângulo 308">
            <a:extLst>
              <a:ext uri="{FF2B5EF4-FFF2-40B4-BE49-F238E27FC236}">
                <a16:creationId xmlns:a16="http://schemas.microsoft.com/office/drawing/2014/main" id="{70436C7C-001D-44D5-BA13-172D9661A77A}"/>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xdr:col>
      <xdr:colOff>3727943</xdr:colOff>
      <xdr:row>63</xdr:row>
      <xdr:rowOff>130427</xdr:rowOff>
    </xdr:from>
    <xdr:to>
      <xdr:col>3</xdr:col>
      <xdr:colOff>4604244</xdr:colOff>
      <xdr:row>65</xdr:row>
      <xdr:rowOff>71580</xdr:rowOff>
    </xdr:to>
    <xdr:grpSp>
      <xdr:nvGrpSpPr>
        <xdr:cNvPr id="310" name="Agrupar 309">
          <a:extLst>
            <a:ext uri="{FF2B5EF4-FFF2-40B4-BE49-F238E27FC236}">
              <a16:creationId xmlns:a16="http://schemas.microsoft.com/office/drawing/2014/main" id="{D4AD0B8A-FC8C-4964-8616-D330360CF36F}"/>
            </a:ext>
          </a:extLst>
        </xdr:cNvPr>
        <xdr:cNvGrpSpPr/>
      </xdr:nvGrpSpPr>
      <xdr:grpSpPr>
        <a:xfrm rot="21108524">
          <a:off x="5556743" y="10798427"/>
          <a:ext cx="876301" cy="265003"/>
          <a:chOff x="19062700" y="8953488"/>
          <a:chExt cx="1202193" cy="279412"/>
        </a:xfrm>
      </xdr:grpSpPr>
      <xdr:sp macro="" textlink="">
        <xdr:nvSpPr>
          <xdr:cNvPr id="311" name="CaixaDeTexto 310">
            <a:extLst>
              <a:ext uri="{FF2B5EF4-FFF2-40B4-BE49-F238E27FC236}">
                <a16:creationId xmlns:a16="http://schemas.microsoft.com/office/drawing/2014/main" id="{8ACA4FB2-925E-4671-8C37-63131B894D20}"/>
              </a:ext>
            </a:extLst>
          </xdr:cNvPr>
          <xdr:cNvSpPr txBox="1"/>
        </xdr:nvSpPr>
        <xdr:spPr>
          <a:xfrm>
            <a:off x="19108990" y="8953488"/>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b="1">
                <a:solidFill>
                  <a:schemeClr val="dk1"/>
                </a:solidFill>
                <a:effectLst/>
                <a:latin typeface="+mn-lt"/>
                <a:ea typeface="+mn-ea"/>
                <a:cs typeface="+mn-cs"/>
              </a:rPr>
              <a:t>FOLGA</a:t>
            </a:r>
            <a:r>
              <a:rPr lang="pt-BR" sz="1100" b="1" baseline="0">
                <a:solidFill>
                  <a:schemeClr val="dk1"/>
                </a:solidFill>
                <a:effectLst/>
                <a:latin typeface="+mn-lt"/>
                <a:ea typeface="+mn-ea"/>
                <a:cs typeface="+mn-cs"/>
              </a:rPr>
              <a:t> = 1</a:t>
            </a:r>
            <a:endParaRPr lang="pt-BR">
              <a:effectLst/>
            </a:endParaRPr>
          </a:p>
        </xdr:txBody>
      </xdr:sp>
      <xdr:sp macro="" textlink="">
        <xdr:nvSpPr>
          <xdr:cNvPr id="312" name="Retângulo 311">
            <a:extLst>
              <a:ext uri="{FF2B5EF4-FFF2-40B4-BE49-F238E27FC236}">
                <a16:creationId xmlns:a16="http://schemas.microsoft.com/office/drawing/2014/main" id="{97C3406B-F674-418E-8511-CF8B499B1459}"/>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xdr:col>
      <xdr:colOff>3770440</xdr:colOff>
      <xdr:row>68</xdr:row>
      <xdr:rowOff>150944</xdr:rowOff>
    </xdr:from>
    <xdr:to>
      <xdr:col>4</xdr:col>
      <xdr:colOff>1472</xdr:colOff>
      <xdr:row>70</xdr:row>
      <xdr:rowOff>92097</xdr:rowOff>
    </xdr:to>
    <xdr:grpSp>
      <xdr:nvGrpSpPr>
        <xdr:cNvPr id="313" name="Agrupar 312">
          <a:extLst>
            <a:ext uri="{FF2B5EF4-FFF2-40B4-BE49-F238E27FC236}">
              <a16:creationId xmlns:a16="http://schemas.microsoft.com/office/drawing/2014/main" id="{182F6001-408C-4207-A405-FFE472E48351}"/>
            </a:ext>
          </a:extLst>
        </xdr:cNvPr>
        <xdr:cNvGrpSpPr/>
      </xdr:nvGrpSpPr>
      <xdr:grpSpPr>
        <a:xfrm rot="779676">
          <a:off x="5599240" y="11628569"/>
          <a:ext cx="879232" cy="265003"/>
          <a:chOff x="19062700" y="8953488"/>
          <a:chExt cx="1202193" cy="279412"/>
        </a:xfrm>
      </xdr:grpSpPr>
      <xdr:sp macro="" textlink="">
        <xdr:nvSpPr>
          <xdr:cNvPr id="314" name="CaixaDeTexto 313">
            <a:extLst>
              <a:ext uri="{FF2B5EF4-FFF2-40B4-BE49-F238E27FC236}">
                <a16:creationId xmlns:a16="http://schemas.microsoft.com/office/drawing/2014/main" id="{2F4EFB4E-CA5A-4659-8439-F691FB79561A}"/>
              </a:ext>
            </a:extLst>
          </xdr:cNvPr>
          <xdr:cNvSpPr txBox="1"/>
        </xdr:nvSpPr>
        <xdr:spPr>
          <a:xfrm>
            <a:off x="19108990" y="8953488"/>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b="1">
                <a:solidFill>
                  <a:schemeClr val="dk1"/>
                </a:solidFill>
                <a:effectLst/>
                <a:latin typeface="+mn-lt"/>
                <a:ea typeface="+mn-ea"/>
                <a:cs typeface="+mn-cs"/>
              </a:rPr>
              <a:t>FOLGA</a:t>
            </a:r>
            <a:r>
              <a:rPr lang="pt-BR" sz="1100" b="1" baseline="0">
                <a:solidFill>
                  <a:schemeClr val="dk1"/>
                </a:solidFill>
                <a:effectLst/>
                <a:latin typeface="+mn-lt"/>
                <a:ea typeface="+mn-ea"/>
                <a:cs typeface="+mn-cs"/>
              </a:rPr>
              <a:t> = 1</a:t>
            </a:r>
            <a:endParaRPr lang="pt-BR">
              <a:effectLst/>
            </a:endParaRPr>
          </a:p>
        </xdr:txBody>
      </xdr:sp>
      <xdr:sp macro="" textlink="">
        <xdr:nvSpPr>
          <xdr:cNvPr id="315" name="Retângulo 314">
            <a:extLst>
              <a:ext uri="{FF2B5EF4-FFF2-40B4-BE49-F238E27FC236}">
                <a16:creationId xmlns:a16="http://schemas.microsoft.com/office/drawing/2014/main" id="{549D7461-83BE-430D-861C-688496418E1D}"/>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xdr:col>
      <xdr:colOff>3444493</xdr:colOff>
      <xdr:row>73</xdr:row>
      <xdr:rowOff>135022</xdr:rowOff>
    </xdr:from>
    <xdr:to>
      <xdr:col>3</xdr:col>
      <xdr:colOff>4388641</xdr:colOff>
      <xdr:row>75</xdr:row>
      <xdr:rowOff>39064</xdr:rowOff>
    </xdr:to>
    <xdr:grpSp>
      <xdr:nvGrpSpPr>
        <xdr:cNvPr id="316" name="Agrupar 315">
          <a:extLst>
            <a:ext uri="{FF2B5EF4-FFF2-40B4-BE49-F238E27FC236}">
              <a16:creationId xmlns:a16="http://schemas.microsoft.com/office/drawing/2014/main" id="{0177D3F1-9F09-4BDA-9EF8-26D19A753A81}"/>
            </a:ext>
          </a:extLst>
        </xdr:cNvPr>
        <xdr:cNvGrpSpPr/>
      </xdr:nvGrpSpPr>
      <xdr:grpSpPr>
        <a:xfrm rot="1979331">
          <a:off x="5273293" y="12422272"/>
          <a:ext cx="944148" cy="227892"/>
          <a:chOff x="19062700" y="8953501"/>
          <a:chExt cx="1376423" cy="279399"/>
        </a:xfrm>
      </xdr:grpSpPr>
      <xdr:sp macro="" textlink="">
        <xdr:nvSpPr>
          <xdr:cNvPr id="317" name="CaixaDeTexto 316">
            <a:extLst>
              <a:ext uri="{FF2B5EF4-FFF2-40B4-BE49-F238E27FC236}">
                <a16:creationId xmlns:a16="http://schemas.microsoft.com/office/drawing/2014/main" id="{06766153-E54C-4B92-BB56-BBCFAC00BA08}"/>
              </a:ext>
            </a:extLst>
          </xdr:cNvPr>
          <xdr:cNvSpPr txBox="1"/>
        </xdr:nvSpPr>
        <xdr:spPr>
          <a:xfrm>
            <a:off x="19158728" y="8953501"/>
            <a:ext cx="1280395" cy="27008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solidFill>
                  <a:schemeClr val="dk1"/>
                </a:solidFill>
                <a:effectLst/>
                <a:latin typeface="+mn-lt"/>
                <a:ea typeface="+mn-ea"/>
                <a:cs typeface="+mn-cs"/>
              </a:rPr>
              <a:t>FOLGA</a:t>
            </a:r>
            <a:r>
              <a:rPr lang="pt-BR" sz="1100" b="1" baseline="0">
                <a:solidFill>
                  <a:schemeClr val="dk1"/>
                </a:solidFill>
                <a:effectLst/>
                <a:latin typeface="+mn-lt"/>
                <a:ea typeface="+mn-ea"/>
                <a:cs typeface="+mn-cs"/>
              </a:rPr>
              <a:t> = 0</a:t>
            </a:r>
            <a:endParaRPr lang="pt-BR">
              <a:effectLst/>
            </a:endParaRPr>
          </a:p>
        </xdr:txBody>
      </xdr:sp>
      <xdr:sp macro="" textlink="">
        <xdr:nvSpPr>
          <xdr:cNvPr id="318" name="Retângulo 317">
            <a:extLst>
              <a:ext uri="{FF2B5EF4-FFF2-40B4-BE49-F238E27FC236}">
                <a16:creationId xmlns:a16="http://schemas.microsoft.com/office/drawing/2014/main" id="{A3CD61E5-81D1-445C-9923-E0A18ED75C68}"/>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5</xdr:col>
      <xdr:colOff>193478</xdr:colOff>
      <xdr:row>69</xdr:row>
      <xdr:rowOff>73535</xdr:rowOff>
    </xdr:from>
    <xdr:to>
      <xdr:col>6</xdr:col>
      <xdr:colOff>408827</xdr:colOff>
      <xdr:row>70</xdr:row>
      <xdr:rowOff>135097</xdr:rowOff>
    </xdr:to>
    <xdr:grpSp>
      <xdr:nvGrpSpPr>
        <xdr:cNvPr id="319" name="Agrupar 318">
          <a:extLst>
            <a:ext uri="{FF2B5EF4-FFF2-40B4-BE49-F238E27FC236}">
              <a16:creationId xmlns:a16="http://schemas.microsoft.com/office/drawing/2014/main" id="{4BA83262-D906-4A8A-BA1A-32FCCFFA73C8}"/>
            </a:ext>
          </a:extLst>
        </xdr:cNvPr>
        <xdr:cNvGrpSpPr/>
      </xdr:nvGrpSpPr>
      <xdr:grpSpPr>
        <a:xfrm rot="20149991">
          <a:off x="7280078" y="11713085"/>
          <a:ext cx="767799" cy="223487"/>
          <a:chOff x="19062700" y="8953488"/>
          <a:chExt cx="1202193" cy="279412"/>
        </a:xfrm>
      </xdr:grpSpPr>
      <xdr:sp macro="" textlink="">
        <xdr:nvSpPr>
          <xdr:cNvPr id="320" name="CaixaDeTexto 319">
            <a:extLst>
              <a:ext uri="{FF2B5EF4-FFF2-40B4-BE49-F238E27FC236}">
                <a16:creationId xmlns:a16="http://schemas.microsoft.com/office/drawing/2014/main" id="{73F777BD-4691-4154-A48E-CE6F21D52D37}"/>
              </a:ext>
            </a:extLst>
          </xdr:cNvPr>
          <xdr:cNvSpPr txBox="1"/>
        </xdr:nvSpPr>
        <xdr:spPr>
          <a:xfrm>
            <a:off x="19108990" y="8953488"/>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000" b="1">
                <a:solidFill>
                  <a:schemeClr val="dk1"/>
                </a:solidFill>
                <a:effectLst/>
                <a:latin typeface="+mn-lt"/>
                <a:ea typeface="+mn-ea"/>
                <a:cs typeface="+mn-cs"/>
              </a:rPr>
              <a:t>FOLGA</a:t>
            </a:r>
            <a:r>
              <a:rPr lang="pt-BR" sz="1000" b="1" baseline="0">
                <a:solidFill>
                  <a:schemeClr val="dk1"/>
                </a:solidFill>
                <a:effectLst/>
                <a:latin typeface="+mn-lt"/>
                <a:ea typeface="+mn-ea"/>
                <a:cs typeface="+mn-cs"/>
              </a:rPr>
              <a:t> = 0</a:t>
            </a:r>
            <a:endParaRPr lang="pt-BR" sz="1000">
              <a:effectLst/>
            </a:endParaRPr>
          </a:p>
        </xdr:txBody>
      </xdr:sp>
      <xdr:sp macro="" textlink="">
        <xdr:nvSpPr>
          <xdr:cNvPr id="321" name="Retângulo 320">
            <a:extLst>
              <a:ext uri="{FF2B5EF4-FFF2-40B4-BE49-F238E27FC236}">
                <a16:creationId xmlns:a16="http://schemas.microsoft.com/office/drawing/2014/main" id="{DC2C7905-B3C9-4D1C-A2DE-DDD4A1F51764}"/>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6</xdr:col>
      <xdr:colOff>433799</xdr:colOff>
      <xdr:row>72</xdr:row>
      <xdr:rowOff>72072</xdr:rowOff>
    </xdr:from>
    <xdr:to>
      <xdr:col>7</xdr:col>
      <xdr:colOff>590532</xdr:colOff>
      <xdr:row>73</xdr:row>
      <xdr:rowOff>133634</xdr:rowOff>
    </xdr:to>
    <xdr:grpSp>
      <xdr:nvGrpSpPr>
        <xdr:cNvPr id="322" name="Agrupar 321">
          <a:extLst>
            <a:ext uri="{FF2B5EF4-FFF2-40B4-BE49-F238E27FC236}">
              <a16:creationId xmlns:a16="http://schemas.microsoft.com/office/drawing/2014/main" id="{38A0C2DE-9505-4B5D-9F56-CDD594EE80D6}"/>
            </a:ext>
          </a:extLst>
        </xdr:cNvPr>
        <xdr:cNvGrpSpPr/>
      </xdr:nvGrpSpPr>
      <xdr:grpSpPr>
        <a:xfrm rot="20807748">
          <a:off x="8072849" y="12197397"/>
          <a:ext cx="766333" cy="223487"/>
          <a:chOff x="19062700" y="8953488"/>
          <a:chExt cx="1202193" cy="279412"/>
        </a:xfrm>
      </xdr:grpSpPr>
      <xdr:sp macro="" textlink="">
        <xdr:nvSpPr>
          <xdr:cNvPr id="323" name="CaixaDeTexto 322">
            <a:extLst>
              <a:ext uri="{FF2B5EF4-FFF2-40B4-BE49-F238E27FC236}">
                <a16:creationId xmlns:a16="http://schemas.microsoft.com/office/drawing/2014/main" id="{5627961A-5F76-4B96-A8CF-95089E159EED}"/>
              </a:ext>
            </a:extLst>
          </xdr:cNvPr>
          <xdr:cNvSpPr txBox="1"/>
        </xdr:nvSpPr>
        <xdr:spPr>
          <a:xfrm>
            <a:off x="19108990" y="8953488"/>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000" b="1">
                <a:solidFill>
                  <a:schemeClr val="dk1"/>
                </a:solidFill>
                <a:effectLst/>
                <a:latin typeface="+mn-lt"/>
                <a:ea typeface="+mn-ea"/>
                <a:cs typeface="+mn-cs"/>
              </a:rPr>
              <a:t>FOLGA</a:t>
            </a:r>
            <a:r>
              <a:rPr lang="pt-BR" sz="1000" b="1" baseline="0">
                <a:solidFill>
                  <a:schemeClr val="dk1"/>
                </a:solidFill>
                <a:effectLst/>
                <a:latin typeface="+mn-lt"/>
                <a:ea typeface="+mn-ea"/>
                <a:cs typeface="+mn-cs"/>
              </a:rPr>
              <a:t> = 0</a:t>
            </a:r>
            <a:endParaRPr lang="pt-BR" sz="1000">
              <a:effectLst/>
            </a:endParaRPr>
          </a:p>
        </xdr:txBody>
      </xdr:sp>
      <xdr:sp macro="" textlink="">
        <xdr:nvSpPr>
          <xdr:cNvPr id="324" name="Retângulo 323">
            <a:extLst>
              <a:ext uri="{FF2B5EF4-FFF2-40B4-BE49-F238E27FC236}">
                <a16:creationId xmlns:a16="http://schemas.microsoft.com/office/drawing/2014/main" id="{97F1EFF8-314F-48E0-BAAC-310928158113}"/>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7</xdr:col>
      <xdr:colOff>148050</xdr:colOff>
      <xdr:row>76</xdr:row>
      <xdr:rowOff>124558</xdr:rowOff>
    </xdr:from>
    <xdr:to>
      <xdr:col>8</xdr:col>
      <xdr:colOff>366345</xdr:colOff>
      <xdr:row>77</xdr:row>
      <xdr:rowOff>155612</xdr:rowOff>
    </xdr:to>
    <xdr:grpSp>
      <xdr:nvGrpSpPr>
        <xdr:cNvPr id="325" name="Agrupar 324">
          <a:extLst>
            <a:ext uri="{FF2B5EF4-FFF2-40B4-BE49-F238E27FC236}">
              <a16:creationId xmlns:a16="http://schemas.microsoft.com/office/drawing/2014/main" id="{D3C538B6-44F1-4DF2-B91F-896AC218464B}"/>
            </a:ext>
          </a:extLst>
        </xdr:cNvPr>
        <xdr:cNvGrpSpPr/>
      </xdr:nvGrpSpPr>
      <xdr:grpSpPr>
        <a:xfrm>
          <a:off x="8396700" y="12897583"/>
          <a:ext cx="827895" cy="192979"/>
          <a:chOff x="19062700" y="8953488"/>
          <a:chExt cx="1202193" cy="279412"/>
        </a:xfrm>
      </xdr:grpSpPr>
      <xdr:sp macro="" textlink="">
        <xdr:nvSpPr>
          <xdr:cNvPr id="326" name="CaixaDeTexto 325">
            <a:extLst>
              <a:ext uri="{FF2B5EF4-FFF2-40B4-BE49-F238E27FC236}">
                <a16:creationId xmlns:a16="http://schemas.microsoft.com/office/drawing/2014/main" id="{6FD4E530-80E6-43C3-B74E-F1346B45E511}"/>
              </a:ext>
            </a:extLst>
          </xdr:cNvPr>
          <xdr:cNvSpPr txBox="1"/>
        </xdr:nvSpPr>
        <xdr:spPr>
          <a:xfrm>
            <a:off x="19108990" y="8953488"/>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000" b="1">
                <a:solidFill>
                  <a:schemeClr val="dk1"/>
                </a:solidFill>
                <a:effectLst/>
                <a:latin typeface="+mn-lt"/>
                <a:ea typeface="+mn-ea"/>
                <a:cs typeface="+mn-cs"/>
              </a:rPr>
              <a:t>FOLGA</a:t>
            </a:r>
            <a:r>
              <a:rPr lang="pt-BR" sz="1000" b="1" baseline="0">
                <a:solidFill>
                  <a:schemeClr val="dk1"/>
                </a:solidFill>
                <a:effectLst/>
                <a:latin typeface="+mn-lt"/>
                <a:ea typeface="+mn-ea"/>
                <a:cs typeface="+mn-cs"/>
              </a:rPr>
              <a:t> = 0</a:t>
            </a:r>
            <a:endParaRPr lang="pt-BR" sz="1000">
              <a:effectLst/>
            </a:endParaRPr>
          </a:p>
        </xdr:txBody>
      </xdr:sp>
      <xdr:sp macro="" textlink="">
        <xdr:nvSpPr>
          <xdr:cNvPr id="327" name="Retângulo 326">
            <a:extLst>
              <a:ext uri="{FF2B5EF4-FFF2-40B4-BE49-F238E27FC236}">
                <a16:creationId xmlns:a16="http://schemas.microsoft.com/office/drawing/2014/main" id="{67545E6E-D1B0-4DED-9C90-DAAAC6328A41}"/>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xdr:col>
      <xdr:colOff>4154365</xdr:colOff>
      <xdr:row>87</xdr:row>
      <xdr:rowOff>65942</xdr:rowOff>
    </xdr:from>
    <xdr:to>
      <xdr:col>4</xdr:col>
      <xdr:colOff>385396</xdr:colOff>
      <xdr:row>89</xdr:row>
      <xdr:rowOff>7083</xdr:rowOff>
    </xdr:to>
    <xdr:grpSp>
      <xdr:nvGrpSpPr>
        <xdr:cNvPr id="328" name="Agrupar 327">
          <a:extLst>
            <a:ext uri="{FF2B5EF4-FFF2-40B4-BE49-F238E27FC236}">
              <a16:creationId xmlns:a16="http://schemas.microsoft.com/office/drawing/2014/main" id="{BBA7715F-532B-4594-A0C7-18BCC8464315}"/>
            </a:ext>
          </a:extLst>
        </xdr:cNvPr>
        <xdr:cNvGrpSpPr/>
      </xdr:nvGrpSpPr>
      <xdr:grpSpPr>
        <a:xfrm rot="2018315">
          <a:off x="5983165" y="14620142"/>
          <a:ext cx="879231" cy="264991"/>
          <a:chOff x="19062700" y="8953501"/>
          <a:chExt cx="1202192" cy="279399"/>
        </a:xfrm>
      </xdr:grpSpPr>
      <xdr:sp macro="" textlink="">
        <xdr:nvSpPr>
          <xdr:cNvPr id="329" name="CaixaDeTexto 328">
            <a:extLst>
              <a:ext uri="{FF2B5EF4-FFF2-40B4-BE49-F238E27FC236}">
                <a16:creationId xmlns:a16="http://schemas.microsoft.com/office/drawing/2014/main" id="{C791DA45-6E7D-480B-9CC3-6F6851B58FDA}"/>
              </a:ext>
            </a:extLst>
          </xdr:cNvPr>
          <xdr:cNvSpPr txBox="1"/>
        </xdr:nvSpPr>
        <xdr:spPr>
          <a:xfrm>
            <a:off x="19108989" y="8953501"/>
            <a:ext cx="1155903"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1100" b="1">
                <a:solidFill>
                  <a:schemeClr val="dk1"/>
                </a:solidFill>
                <a:effectLst/>
                <a:latin typeface="+mn-lt"/>
                <a:ea typeface="+mn-ea"/>
                <a:cs typeface="+mn-cs"/>
              </a:rPr>
              <a:t>FOLGA</a:t>
            </a:r>
            <a:r>
              <a:rPr lang="pt-BR" sz="1100" b="1" baseline="0">
                <a:solidFill>
                  <a:schemeClr val="dk1"/>
                </a:solidFill>
                <a:effectLst/>
                <a:latin typeface="+mn-lt"/>
                <a:ea typeface="+mn-ea"/>
                <a:cs typeface="+mn-cs"/>
              </a:rPr>
              <a:t> =0</a:t>
            </a:r>
            <a:endParaRPr lang="pt-BR">
              <a:effectLst/>
            </a:endParaRPr>
          </a:p>
        </xdr:txBody>
      </xdr:sp>
      <xdr:sp macro="" textlink="">
        <xdr:nvSpPr>
          <xdr:cNvPr id="330" name="Retângulo 329">
            <a:extLst>
              <a:ext uri="{FF2B5EF4-FFF2-40B4-BE49-F238E27FC236}">
                <a16:creationId xmlns:a16="http://schemas.microsoft.com/office/drawing/2014/main" id="{969BCB20-32D4-4743-BD4F-185C3641F7AA}"/>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9</xdr:col>
      <xdr:colOff>580426</xdr:colOff>
      <xdr:row>84</xdr:row>
      <xdr:rowOff>20830</xdr:rowOff>
    </xdr:from>
    <xdr:to>
      <xdr:col>11</xdr:col>
      <xdr:colOff>103950</xdr:colOff>
      <xdr:row>85</xdr:row>
      <xdr:rowOff>79385</xdr:rowOff>
    </xdr:to>
    <xdr:grpSp>
      <xdr:nvGrpSpPr>
        <xdr:cNvPr id="331" name="Agrupar 330">
          <a:extLst>
            <a:ext uri="{FF2B5EF4-FFF2-40B4-BE49-F238E27FC236}">
              <a16:creationId xmlns:a16="http://schemas.microsoft.com/office/drawing/2014/main" id="{3922CDCE-DF22-4F02-B8CA-66554422935C}"/>
            </a:ext>
          </a:extLst>
        </xdr:cNvPr>
        <xdr:cNvGrpSpPr/>
      </xdr:nvGrpSpPr>
      <xdr:grpSpPr>
        <a:xfrm rot="20440267">
          <a:off x="10048276" y="14089255"/>
          <a:ext cx="742724" cy="220480"/>
          <a:chOff x="19062700" y="8953482"/>
          <a:chExt cx="1202185" cy="279418"/>
        </a:xfrm>
      </xdr:grpSpPr>
      <xdr:sp macro="" textlink="">
        <xdr:nvSpPr>
          <xdr:cNvPr id="332" name="CaixaDeTexto 331">
            <a:extLst>
              <a:ext uri="{FF2B5EF4-FFF2-40B4-BE49-F238E27FC236}">
                <a16:creationId xmlns:a16="http://schemas.microsoft.com/office/drawing/2014/main" id="{5011B728-1AA1-4FD4-918F-C841C1A01C9D}"/>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33" name="Retângulo 332">
            <a:extLst>
              <a:ext uri="{FF2B5EF4-FFF2-40B4-BE49-F238E27FC236}">
                <a16:creationId xmlns:a16="http://schemas.microsoft.com/office/drawing/2014/main" id="{5200403A-C4FF-4F48-8B8D-C9C4A7EEBB22}"/>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9</xdr:col>
      <xdr:colOff>549044</xdr:colOff>
      <xdr:row>89</xdr:row>
      <xdr:rowOff>12648</xdr:rowOff>
    </xdr:from>
    <xdr:to>
      <xdr:col>11</xdr:col>
      <xdr:colOff>72568</xdr:colOff>
      <xdr:row>90</xdr:row>
      <xdr:rowOff>73644</xdr:rowOff>
    </xdr:to>
    <xdr:grpSp>
      <xdr:nvGrpSpPr>
        <xdr:cNvPr id="334" name="Agrupar 333">
          <a:extLst>
            <a:ext uri="{FF2B5EF4-FFF2-40B4-BE49-F238E27FC236}">
              <a16:creationId xmlns:a16="http://schemas.microsoft.com/office/drawing/2014/main" id="{14BA6146-7808-4957-995A-B9DBAA9EA75C}"/>
            </a:ext>
          </a:extLst>
        </xdr:cNvPr>
        <xdr:cNvGrpSpPr/>
      </xdr:nvGrpSpPr>
      <xdr:grpSpPr>
        <a:xfrm rot="442533">
          <a:off x="10016894" y="14890698"/>
          <a:ext cx="742724" cy="222921"/>
          <a:chOff x="19062700" y="8953482"/>
          <a:chExt cx="1202185" cy="279418"/>
        </a:xfrm>
      </xdr:grpSpPr>
      <xdr:sp macro="" textlink="">
        <xdr:nvSpPr>
          <xdr:cNvPr id="335" name="CaixaDeTexto 334">
            <a:extLst>
              <a:ext uri="{FF2B5EF4-FFF2-40B4-BE49-F238E27FC236}">
                <a16:creationId xmlns:a16="http://schemas.microsoft.com/office/drawing/2014/main" id="{AD1E3960-94B6-428D-A494-F40C4F6965A8}"/>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36" name="Retângulo 335">
            <a:extLst>
              <a:ext uri="{FF2B5EF4-FFF2-40B4-BE49-F238E27FC236}">
                <a16:creationId xmlns:a16="http://schemas.microsoft.com/office/drawing/2014/main" id="{34135AC5-9CD1-4FF0-AD1F-33D34578D55E}"/>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7</xdr:col>
      <xdr:colOff>591538</xdr:colOff>
      <xdr:row>90</xdr:row>
      <xdr:rowOff>128412</xdr:rowOff>
    </xdr:from>
    <xdr:to>
      <xdr:col>9</xdr:col>
      <xdr:colOff>115062</xdr:colOff>
      <xdr:row>92</xdr:row>
      <xdr:rowOff>28217</xdr:rowOff>
    </xdr:to>
    <xdr:grpSp>
      <xdr:nvGrpSpPr>
        <xdr:cNvPr id="337" name="Agrupar 336">
          <a:extLst>
            <a:ext uri="{FF2B5EF4-FFF2-40B4-BE49-F238E27FC236}">
              <a16:creationId xmlns:a16="http://schemas.microsoft.com/office/drawing/2014/main" id="{AADDD745-F711-4EE6-BA21-7D2F6840C0F9}"/>
            </a:ext>
          </a:extLst>
        </xdr:cNvPr>
        <xdr:cNvGrpSpPr/>
      </xdr:nvGrpSpPr>
      <xdr:grpSpPr>
        <a:xfrm rot="1934083">
          <a:off x="8840188" y="15168387"/>
          <a:ext cx="742724" cy="223655"/>
          <a:chOff x="19062700" y="8953482"/>
          <a:chExt cx="1202185" cy="279418"/>
        </a:xfrm>
      </xdr:grpSpPr>
      <xdr:sp macro="" textlink="">
        <xdr:nvSpPr>
          <xdr:cNvPr id="338" name="CaixaDeTexto 337">
            <a:extLst>
              <a:ext uri="{FF2B5EF4-FFF2-40B4-BE49-F238E27FC236}">
                <a16:creationId xmlns:a16="http://schemas.microsoft.com/office/drawing/2014/main" id="{ADE6001B-BE5B-4D9B-BB6B-D1F30549ED39}"/>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39" name="Retângulo 338">
            <a:extLst>
              <a:ext uri="{FF2B5EF4-FFF2-40B4-BE49-F238E27FC236}">
                <a16:creationId xmlns:a16="http://schemas.microsoft.com/office/drawing/2014/main" id="{F66AB4F3-E00A-400F-B9B9-C4D779C1C40D}"/>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12</xdr:col>
      <xdr:colOff>335095</xdr:colOff>
      <xdr:row>86</xdr:row>
      <xdr:rowOff>128411</xdr:rowOff>
    </xdr:from>
    <xdr:to>
      <xdr:col>13</xdr:col>
      <xdr:colOff>466754</xdr:colOff>
      <xdr:row>88</xdr:row>
      <xdr:rowOff>28216</xdr:rowOff>
    </xdr:to>
    <xdr:grpSp>
      <xdr:nvGrpSpPr>
        <xdr:cNvPr id="340" name="Agrupar 339">
          <a:extLst>
            <a:ext uri="{FF2B5EF4-FFF2-40B4-BE49-F238E27FC236}">
              <a16:creationId xmlns:a16="http://schemas.microsoft.com/office/drawing/2014/main" id="{F2E6A4D5-E04E-470C-AEBB-0ED7C4683912}"/>
            </a:ext>
          </a:extLst>
        </xdr:cNvPr>
        <xdr:cNvGrpSpPr/>
      </xdr:nvGrpSpPr>
      <xdr:grpSpPr>
        <a:xfrm rot="21138930">
          <a:off x="11631745" y="14520686"/>
          <a:ext cx="741259" cy="223655"/>
          <a:chOff x="19062700" y="8953482"/>
          <a:chExt cx="1202185" cy="279418"/>
        </a:xfrm>
      </xdr:grpSpPr>
      <xdr:sp macro="" textlink="">
        <xdr:nvSpPr>
          <xdr:cNvPr id="341" name="CaixaDeTexto 340">
            <a:extLst>
              <a:ext uri="{FF2B5EF4-FFF2-40B4-BE49-F238E27FC236}">
                <a16:creationId xmlns:a16="http://schemas.microsoft.com/office/drawing/2014/main" id="{75F22BFC-57B5-49BC-8B21-5A9A384CC633}"/>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42" name="Retângulo 341">
            <a:extLst>
              <a:ext uri="{FF2B5EF4-FFF2-40B4-BE49-F238E27FC236}">
                <a16:creationId xmlns:a16="http://schemas.microsoft.com/office/drawing/2014/main" id="{E51B1C56-7B53-4C63-BEB7-9790ABA05D6C}"/>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13</xdr:col>
      <xdr:colOff>245707</xdr:colOff>
      <xdr:row>91</xdr:row>
      <xdr:rowOff>97638</xdr:rowOff>
    </xdr:from>
    <xdr:to>
      <xdr:col>14</xdr:col>
      <xdr:colOff>377365</xdr:colOff>
      <xdr:row>92</xdr:row>
      <xdr:rowOff>158635</xdr:rowOff>
    </xdr:to>
    <xdr:grpSp>
      <xdr:nvGrpSpPr>
        <xdr:cNvPr id="343" name="Agrupar 342">
          <a:extLst>
            <a:ext uri="{FF2B5EF4-FFF2-40B4-BE49-F238E27FC236}">
              <a16:creationId xmlns:a16="http://schemas.microsoft.com/office/drawing/2014/main" id="{CDFE102C-76D0-426D-B616-C7E4C95D2B49}"/>
            </a:ext>
          </a:extLst>
        </xdr:cNvPr>
        <xdr:cNvGrpSpPr/>
      </xdr:nvGrpSpPr>
      <xdr:grpSpPr>
        <a:xfrm rot="781026">
          <a:off x="12151957" y="15299538"/>
          <a:ext cx="741258" cy="222922"/>
          <a:chOff x="19062700" y="8953482"/>
          <a:chExt cx="1202185" cy="279418"/>
        </a:xfrm>
      </xdr:grpSpPr>
      <xdr:sp macro="" textlink="">
        <xdr:nvSpPr>
          <xdr:cNvPr id="344" name="CaixaDeTexto 343">
            <a:extLst>
              <a:ext uri="{FF2B5EF4-FFF2-40B4-BE49-F238E27FC236}">
                <a16:creationId xmlns:a16="http://schemas.microsoft.com/office/drawing/2014/main" id="{0598BBFF-4F61-4957-B11A-16E1110E239A}"/>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45" name="Retângulo 344">
            <a:extLst>
              <a:ext uri="{FF2B5EF4-FFF2-40B4-BE49-F238E27FC236}">
                <a16:creationId xmlns:a16="http://schemas.microsoft.com/office/drawing/2014/main" id="{D88BBC45-EDB9-4B2E-8E40-39881C1D4FC7}"/>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16</xdr:col>
      <xdr:colOff>192952</xdr:colOff>
      <xdr:row>90</xdr:row>
      <xdr:rowOff>147460</xdr:rowOff>
    </xdr:from>
    <xdr:to>
      <xdr:col>17</xdr:col>
      <xdr:colOff>324610</xdr:colOff>
      <xdr:row>92</xdr:row>
      <xdr:rowOff>47265</xdr:rowOff>
    </xdr:to>
    <xdr:grpSp>
      <xdr:nvGrpSpPr>
        <xdr:cNvPr id="346" name="Agrupar 345">
          <a:extLst>
            <a:ext uri="{FF2B5EF4-FFF2-40B4-BE49-F238E27FC236}">
              <a16:creationId xmlns:a16="http://schemas.microsoft.com/office/drawing/2014/main" id="{52DA7AE4-9020-4DA5-B2D9-B8C6C10B120D}"/>
            </a:ext>
          </a:extLst>
        </xdr:cNvPr>
        <xdr:cNvGrpSpPr/>
      </xdr:nvGrpSpPr>
      <xdr:grpSpPr>
        <a:xfrm>
          <a:off x="13928002" y="15187435"/>
          <a:ext cx="741258" cy="223655"/>
          <a:chOff x="19062700" y="8953482"/>
          <a:chExt cx="1202185" cy="279418"/>
        </a:xfrm>
      </xdr:grpSpPr>
      <xdr:sp macro="" textlink="">
        <xdr:nvSpPr>
          <xdr:cNvPr id="347" name="CaixaDeTexto 346">
            <a:extLst>
              <a:ext uri="{FF2B5EF4-FFF2-40B4-BE49-F238E27FC236}">
                <a16:creationId xmlns:a16="http://schemas.microsoft.com/office/drawing/2014/main" id="{DDAF2B80-581D-4171-AD82-DE6CE7A47CD3}"/>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48" name="Retângulo 347">
            <a:extLst>
              <a:ext uri="{FF2B5EF4-FFF2-40B4-BE49-F238E27FC236}">
                <a16:creationId xmlns:a16="http://schemas.microsoft.com/office/drawing/2014/main" id="{929A4F6D-88D6-4973-80FD-2F01BDF85847}"/>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19</xdr:col>
      <xdr:colOff>345352</xdr:colOff>
      <xdr:row>90</xdr:row>
      <xdr:rowOff>131340</xdr:rowOff>
    </xdr:from>
    <xdr:to>
      <xdr:col>20</xdr:col>
      <xdr:colOff>477010</xdr:colOff>
      <xdr:row>92</xdr:row>
      <xdr:rowOff>31145</xdr:rowOff>
    </xdr:to>
    <xdr:grpSp>
      <xdr:nvGrpSpPr>
        <xdr:cNvPr id="349" name="Agrupar 348">
          <a:extLst>
            <a:ext uri="{FF2B5EF4-FFF2-40B4-BE49-F238E27FC236}">
              <a16:creationId xmlns:a16="http://schemas.microsoft.com/office/drawing/2014/main" id="{9B91A1A6-B245-4CC9-9433-5DF8C24FD681}"/>
            </a:ext>
          </a:extLst>
        </xdr:cNvPr>
        <xdr:cNvGrpSpPr/>
      </xdr:nvGrpSpPr>
      <xdr:grpSpPr>
        <a:xfrm>
          <a:off x="15909202" y="15171315"/>
          <a:ext cx="741258" cy="223655"/>
          <a:chOff x="19062700" y="8953482"/>
          <a:chExt cx="1202185" cy="279418"/>
        </a:xfrm>
      </xdr:grpSpPr>
      <xdr:sp macro="" textlink="">
        <xdr:nvSpPr>
          <xdr:cNvPr id="350" name="CaixaDeTexto 349">
            <a:extLst>
              <a:ext uri="{FF2B5EF4-FFF2-40B4-BE49-F238E27FC236}">
                <a16:creationId xmlns:a16="http://schemas.microsoft.com/office/drawing/2014/main" id="{BCCB6444-F5FE-42E8-A81C-4043AE8BDAA4}"/>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51" name="Retângulo 350">
            <a:extLst>
              <a:ext uri="{FF2B5EF4-FFF2-40B4-BE49-F238E27FC236}">
                <a16:creationId xmlns:a16="http://schemas.microsoft.com/office/drawing/2014/main" id="{4E6E9F52-E166-4FC6-B062-A15C39D08839}"/>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24</xdr:col>
      <xdr:colOff>204675</xdr:colOff>
      <xdr:row>96</xdr:row>
      <xdr:rowOff>56606</xdr:rowOff>
    </xdr:from>
    <xdr:to>
      <xdr:col>25</xdr:col>
      <xdr:colOff>336333</xdr:colOff>
      <xdr:row>97</xdr:row>
      <xdr:rowOff>117603</xdr:rowOff>
    </xdr:to>
    <xdr:grpSp>
      <xdr:nvGrpSpPr>
        <xdr:cNvPr id="352" name="Agrupar 351">
          <a:extLst>
            <a:ext uri="{FF2B5EF4-FFF2-40B4-BE49-F238E27FC236}">
              <a16:creationId xmlns:a16="http://schemas.microsoft.com/office/drawing/2014/main" id="{3AB8A8A9-5EC6-4192-BFCF-F7D62DA3B53A}"/>
            </a:ext>
          </a:extLst>
        </xdr:cNvPr>
        <xdr:cNvGrpSpPr/>
      </xdr:nvGrpSpPr>
      <xdr:grpSpPr>
        <a:xfrm rot="1249267">
          <a:off x="18816525" y="16068131"/>
          <a:ext cx="741258" cy="222922"/>
          <a:chOff x="19062700" y="8953482"/>
          <a:chExt cx="1202185" cy="279418"/>
        </a:xfrm>
      </xdr:grpSpPr>
      <xdr:sp macro="" textlink="">
        <xdr:nvSpPr>
          <xdr:cNvPr id="353" name="CaixaDeTexto 352">
            <a:extLst>
              <a:ext uri="{FF2B5EF4-FFF2-40B4-BE49-F238E27FC236}">
                <a16:creationId xmlns:a16="http://schemas.microsoft.com/office/drawing/2014/main" id="{55E25149-FE7A-4E4D-BD83-C3A8579F523E}"/>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54" name="Retângulo 353">
            <a:extLst>
              <a:ext uri="{FF2B5EF4-FFF2-40B4-BE49-F238E27FC236}">
                <a16:creationId xmlns:a16="http://schemas.microsoft.com/office/drawing/2014/main" id="{D2D3E141-38F8-4185-8BAB-F243CF7DB873}"/>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24</xdr:col>
      <xdr:colOff>20037</xdr:colOff>
      <xdr:row>86</xdr:row>
      <xdr:rowOff>150392</xdr:rowOff>
    </xdr:from>
    <xdr:to>
      <xdr:col>25</xdr:col>
      <xdr:colOff>151695</xdr:colOff>
      <xdr:row>88</xdr:row>
      <xdr:rowOff>50197</xdr:rowOff>
    </xdr:to>
    <xdr:grpSp>
      <xdr:nvGrpSpPr>
        <xdr:cNvPr id="355" name="Agrupar 354">
          <a:extLst>
            <a:ext uri="{FF2B5EF4-FFF2-40B4-BE49-F238E27FC236}">
              <a16:creationId xmlns:a16="http://schemas.microsoft.com/office/drawing/2014/main" id="{3632DA9F-5E90-4FFD-A98D-5F0D7BD39679}"/>
            </a:ext>
          </a:extLst>
        </xdr:cNvPr>
        <xdr:cNvGrpSpPr/>
      </xdr:nvGrpSpPr>
      <xdr:grpSpPr>
        <a:xfrm rot="20123720">
          <a:off x="18631887" y="14542667"/>
          <a:ext cx="741258" cy="223655"/>
          <a:chOff x="19062700" y="8953482"/>
          <a:chExt cx="1202185" cy="279418"/>
        </a:xfrm>
        <a:noFill/>
      </xdr:grpSpPr>
      <xdr:sp macro="" textlink="">
        <xdr:nvSpPr>
          <xdr:cNvPr id="356" name="CaixaDeTexto 355">
            <a:extLst>
              <a:ext uri="{FF2B5EF4-FFF2-40B4-BE49-F238E27FC236}">
                <a16:creationId xmlns:a16="http://schemas.microsoft.com/office/drawing/2014/main" id="{87987DA6-95BC-4164-A5FB-FF6E15066351}"/>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57" name="Retângulo 356">
            <a:extLst>
              <a:ext uri="{FF2B5EF4-FFF2-40B4-BE49-F238E27FC236}">
                <a16:creationId xmlns:a16="http://schemas.microsoft.com/office/drawing/2014/main" id="{DF8E2813-C080-4FE4-A2CB-959ACFDE5E36}"/>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24</xdr:col>
      <xdr:colOff>318974</xdr:colOff>
      <xdr:row>91</xdr:row>
      <xdr:rowOff>53677</xdr:rowOff>
    </xdr:from>
    <xdr:to>
      <xdr:col>25</xdr:col>
      <xdr:colOff>450632</xdr:colOff>
      <xdr:row>92</xdr:row>
      <xdr:rowOff>114674</xdr:rowOff>
    </xdr:to>
    <xdr:grpSp>
      <xdr:nvGrpSpPr>
        <xdr:cNvPr id="358" name="Agrupar 357">
          <a:extLst>
            <a:ext uri="{FF2B5EF4-FFF2-40B4-BE49-F238E27FC236}">
              <a16:creationId xmlns:a16="http://schemas.microsoft.com/office/drawing/2014/main" id="{F53E7CC6-5FFF-486B-94E0-1678A0F42CEF}"/>
            </a:ext>
          </a:extLst>
        </xdr:cNvPr>
        <xdr:cNvGrpSpPr/>
      </xdr:nvGrpSpPr>
      <xdr:grpSpPr>
        <a:xfrm>
          <a:off x="18930824" y="15255577"/>
          <a:ext cx="741258" cy="222922"/>
          <a:chOff x="19062700" y="8953482"/>
          <a:chExt cx="1202185" cy="279418"/>
        </a:xfrm>
        <a:noFill/>
      </xdr:grpSpPr>
      <xdr:sp macro="" textlink="">
        <xdr:nvSpPr>
          <xdr:cNvPr id="359" name="CaixaDeTexto 358">
            <a:extLst>
              <a:ext uri="{FF2B5EF4-FFF2-40B4-BE49-F238E27FC236}">
                <a16:creationId xmlns:a16="http://schemas.microsoft.com/office/drawing/2014/main" id="{7A226B92-AADF-4A70-B343-94296BB5D5F3}"/>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60" name="Retângulo 359">
            <a:extLst>
              <a:ext uri="{FF2B5EF4-FFF2-40B4-BE49-F238E27FC236}">
                <a16:creationId xmlns:a16="http://schemas.microsoft.com/office/drawing/2014/main" id="{312BB662-F5B5-4CC7-9B2A-DB303CA20130}"/>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22</xdr:col>
      <xdr:colOff>443532</xdr:colOff>
      <xdr:row>84</xdr:row>
      <xdr:rowOff>17043</xdr:rowOff>
    </xdr:from>
    <xdr:to>
      <xdr:col>23</xdr:col>
      <xdr:colOff>575191</xdr:colOff>
      <xdr:row>85</xdr:row>
      <xdr:rowOff>78040</xdr:rowOff>
    </xdr:to>
    <xdr:grpSp>
      <xdr:nvGrpSpPr>
        <xdr:cNvPr id="361" name="Agrupar 360">
          <a:extLst>
            <a:ext uri="{FF2B5EF4-FFF2-40B4-BE49-F238E27FC236}">
              <a16:creationId xmlns:a16="http://schemas.microsoft.com/office/drawing/2014/main" id="{6EDB1419-7AA2-4F82-8869-C1C86C044E41}"/>
            </a:ext>
          </a:extLst>
        </xdr:cNvPr>
        <xdr:cNvGrpSpPr/>
      </xdr:nvGrpSpPr>
      <xdr:grpSpPr>
        <a:xfrm rot="19506681">
          <a:off x="17836182" y="14085468"/>
          <a:ext cx="741259" cy="222922"/>
          <a:chOff x="19062700" y="8953482"/>
          <a:chExt cx="1202185" cy="279418"/>
        </a:xfrm>
        <a:noFill/>
      </xdr:grpSpPr>
      <xdr:sp macro="" textlink="">
        <xdr:nvSpPr>
          <xdr:cNvPr id="362" name="CaixaDeTexto 361">
            <a:extLst>
              <a:ext uri="{FF2B5EF4-FFF2-40B4-BE49-F238E27FC236}">
                <a16:creationId xmlns:a16="http://schemas.microsoft.com/office/drawing/2014/main" id="{162E27D8-E632-4788-A585-26AF5A3AA8E4}"/>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63" name="Retângulo 362">
            <a:extLst>
              <a:ext uri="{FF2B5EF4-FFF2-40B4-BE49-F238E27FC236}">
                <a16:creationId xmlns:a16="http://schemas.microsoft.com/office/drawing/2014/main" id="{C7B69052-AA89-4E04-B96E-3688328D7EC0}"/>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26</xdr:col>
      <xdr:colOff>604727</xdr:colOff>
      <xdr:row>80</xdr:row>
      <xdr:rowOff>39024</xdr:rowOff>
    </xdr:from>
    <xdr:to>
      <xdr:col>28</xdr:col>
      <xdr:colOff>128251</xdr:colOff>
      <xdr:row>81</xdr:row>
      <xdr:rowOff>100021</xdr:rowOff>
    </xdr:to>
    <xdr:grpSp>
      <xdr:nvGrpSpPr>
        <xdr:cNvPr id="364" name="Agrupar 363">
          <a:extLst>
            <a:ext uri="{FF2B5EF4-FFF2-40B4-BE49-F238E27FC236}">
              <a16:creationId xmlns:a16="http://schemas.microsoft.com/office/drawing/2014/main" id="{F4709B3A-F016-412A-922D-D939681D803D}"/>
            </a:ext>
          </a:extLst>
        </xdr:cNvPr>
        <xdr:cNvGrpSpPr/>
      </xdr:nvGrpSpPr>
      <xdr:grpSpPr>
        <a:xfrm>
          <a:off x="20435777" y="13459749"/>
          <a:ext cx="742724" cy="222922"/>
          <a:chOff x="19062700" y="8953482"/>
          <a:chExt cx="1202185" cy="279418"/>
        </a:xfrm>
        <a:noFill/>
      </xdr:grpSpPr>
      <xdr:sp macro="" textlink="">
        <xdr:nvSpPr>
          <xdr:cNvPr id="365" name="CaixaDeTexto 364">
            <a:extLst>
              <a:ext uri="{FF2B5EF4-FFF2-40B4-BE49-F238E27FC236}">
                <a16:creationId xmlns:a16="http://schemas.microsoft.com/office/drawing/2014/main" id="{5EC7EFCB-6C5C-4065-8C44-5D3DD7BBC973}"/>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66" name="Retângulo 365">
            <a:extLst>
              <a:ext uri="{FF2B5EF4-FFF2-40B4-BE49-F238E27FC236}">
                <a16:creationId xmlns:a16="http://schemas.microsoft.com/office/drawing/2014/main" id="{E8DBA876-B5C9-4B1E-B23A-E57F09370096}"/>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30</xdr:col>
      <xdr:colOff>302858</xdr:colOff>
      <xdr:row>79</xdr:row>
      <xdr:rowOff>154791</xdr:rowOff>
    </xdr:from>
    <xdr:to>
      <xdr:col>31</xdr:col>
      <xdr:colOff>434517</xdr:colOff>
      <xdr:row>81</xdr:row>
      <xdr:rowOff>54595</xdr:rowOff>
    </xdr:to>
    <xdr:grpSp>
      <xdr:nvGrpSpPr>
        <xdr:cNvPr id="367" name="Agrupar 366">
          <a:extLst>
            <a:ext uri="{FF2B5EF4-FFF2-40B4-BE49-F238E27FC236}">
              <a16:creationId xmlns:a16="http://schemas.microsoft.com/office/drawing/2014/main" id="{3A6BF05C-7A4B-4A34-B7B6-9F43E10465AA}"/>
            </a:ext>
          </a:extLst>
        </xdr:cNvPr>
        <xdr:cNvGrpSpPr/>
      </xdr:nvGrpSpPr>
      <xdr:grpSpPr>
        <a:xfrm>
          <a:off x="22572308" y="13413591"/>
          <a:ext cx="741259" cy="223654"/>
          <a:chOff x="19062700" y="8953482"/>
          <a:chExt cx="1202185" cy="279418"/>
        </a:xfrm>
        <a:noFill/>
      </xdr:grpSpPr>
      <xdr:sp macro="" textlink="">
        <xdr:nvSpPr>
          <xdr:cNvPr id="368" name="CaixaDeTexto 367">
            <a:extLst>
              <a:ext uri="{FF2B5EF4-FFF2-40B4-BE49-F238E27FC236}">
                <a16:creationId xmlns:a16="http://schemas.microsoft.com/office/drawing/2014/main" id="{CAEAA05E-1995-49AD-AB2F-1E1C82061CE5}"/>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69" name="Retângulo 368">
            <a:extLst>
              <a:ext uri="{FF2B5EF4-FFF2-40B4-BE49-F238E27FC236}">
                <a16:creationId xmlns:a16="http://schemas.microsoft.com/office/drawing/2014/main" id="{2CC32535-4911-4FA5-A1EE-9F0A069D850A}"/>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33</xdr:col>
      <xdr:colOff>235451</xdr:colOff>
      <xdr:row>79</xdr:row>
      <xdr:rowOff>138673</xdr:rowOff>
    </xdr:from>
    <xdr:to>
      <xdr:col>34</xdr:col>
      <xdr:colOff>367110</xdr:colOff>
      <xdr:row>81</xdr:row>
      <xdr:rowOff>38477</xdr:rowOff>
    </xdr:to>
    <xdr:grpSp>
      <xdr:nvGrpSpPr>
        <xdr:cNvPr id="370" name="Agrupar 369">
          <a:extLst>
            <a:ext uri="{FF2B5EF4-FFF2-40B4-BE49-F238E27FC236}">
              <a16:creationId xmlns:a16="http://schemas.microsoft.com/office/drawing/2014/main" id="{B974FB34-B9E1-44EE-B921-1F0BD248818E}"/>
            </a:ext>
          </a:extLst>
        </xdr:cNvPr>
        <xdr:cNvGrpSpPr/>
      </xdr:nvGrpSpPr>
      <xdr:grpSpPr>
        <a:xfrm>
          <a:off x="24333701" y="13397473"/>
          <a:ext cx="741259" cy="223654"/>
          <a:chOff x="19062700" y="8953482"/>
          <a:chExt cx="1202185" cy="279418"/>
        </a:xfrm>
        <a:noFill/>
      </xdr:grpSpPr>
      <xdr:sp macro="" textlink="">
        <xdr:nvSpPr>
          <xdr:cNvPr id="371" name="CaixaDeTexto 370">
            <a:extLst>
              <a:ext uri="{FF2B5EF4-FFF2-40B4-BE49-F238E27FC236}">
                <a16:creationId xmlns:a16="http://schemas.microsoft.com/office/drawing/2014/main" id="{465E89FF-8DBD-4A06-BDA5-BF6BCAED9B6B}"/>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72" name="Retângulo 371">
            <a:extLst>
              <a:ext uri="{FF2B5EF4-FFF2-40B4-BE49-F238E27FC236}">
                <a16:creationId xmlns:a16="http://schemas.microsoft.com/office/drawing/2014/main" id="{2C4E246D-BCAB-4D43-A18B-17C2980D1E46}"/>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36</xdr:col>
      <xdr:colOff>424487</xdr:colOff>
      <xdr:row>79</xdr:row>
      <xdr:rowOff>144536</xdr:rowOff>
    </xdr:from>
    <xdr:to>
      <xdr:col>37</xdr:col>
      <xdr:colOff>556145</xdr:colOff>
      <xdr:row>81</xdr:row>
      <xdr:rowOff>44340</xdr:rowOff>
    </xdr:to>
    <xdr:grpSp>
      <xdr:nvGrpSpPr>
        <xdr:cNvPr id="373" name="Agrupar 372">
          <a:extLst>
            <a:ext uri="{FF2B5EF4-FFF2-40B4-BE49-F238E27FC236}">
              <a16:creationId xmlns:a16="http://schemas.microsoft.com/office/drawing/2014/main" id="{4F926047-5BEB-4B24-8066-BD323BBAA3B0}"/>
            </a:ext>
          </a:extLst>
        </xdr:cNvPr>
        <xdr:cNvGrpSpPr/>
      </xdr:nvGrpSpPr>
      <xdr:grpSpPr>
        <a:xfrm>
          <a:off x="26351537" y="13403336"/>
          <a:ext cx="741258" cy="223654"/>
          <a:chOff x="19062700" y="8953482"/>
          <a:chExt cx="1202185" cy="279418"/>
        </a:xfrm>
        <a:noFill/>
      </xdr:grpSpPr>
      <xdr:sp macro="" textlink="">
        <xdr:nvSpPr>
          <xdr:cNvPr id="374" name="CaixaDeTexto 373">
            <a:extLst>
              <a:ext uri="{FF2B5EF4-FFF2-40B4-BE49-F238E27FC236}">
                <a16:creationId xmlns:a16="http://schemas.microsoft.com/office/drawing/2014/main" id="{8ACD9609-CDD0-4A45-BADC-31A6EAED80FB}"/>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75" name="Retângulo 374">
            <a:extLst>
              <a:ext uri="{FF2B5EF4-FFF2-40B4-BE49-F238E27FC236}">
                <a16:creationId xmlns:a16="http://schemas.microsoft.com/office/drawing/2014/main" id="{3183A1EF-0C12-478E-835A-00A235B52106}"/>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40</xdr:col>
      <xdr:colOff>173905</xdr:colOff>
      <xdr:row>80</xdr:row>
      <xdr:rowOff>18513</xdr:rowOff>
    </xdr:from>
    <xdr:to>
      <xdr:col>41</xdr:col>
      <xdr:colOff>305564</xdr:colOff>
      <xdr:row>81</xdr:row>
      <xdr:rowOff>79510</xdr:rowOff>
    </xdr:to>
    <xdr:grpSp>
      <xdr:nvGrpSpPr>
        <xdr:cNvPr id="376" name="Agrupar 375">
          <a:extLst>
            <a:ext uri="{FF2B5EF4-FFF2-40B4-BE49-F238E27FC236}">
              <a16:creationId xmlns:a16="http://schemas.microsoft.com/office/drawing/2014/main" id="{1264C858-C296-41A1-A1BE-BD5BBCD046C0}"/>
            </a:ext>
          </a:extLst>
        </xdr:cNvPr>
        <xdr:cNvGrpSpPr/>
      </xdr:nvGrpSpPr>
      <xdr:grpSpPr>
        <a:xfrm>
          <a:off x="28539355" y="13439238"/>
          <a:ext cx="741259" cy="222922"/>
          <a:chOff x="19062700" y="8953482"/>
          <a:chExt cx="1202185" cy="279418"/>
        </a:xfrm>
        <a:noFill/>
      </xdr:grpSpPr>
      <xdr:sp macro="" textlink="">
        <xdr:nvSpPr>
          <xdr:cNvPr id="377" name="CaixaDeTexto 376">
            <a:extLst>
              <a:ext uri="{FF2B5EF4-FFF2-40B4-BE49-F238E27FC236}">
                <a16:creationId xmlns:a16="http://schemas.microsoft.com/office/drawing/2014/main" id="{AAF2D86A-108D-426F-8627-96D1D85EF62B}"/>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78" name="Retângulo 377">
            <a:extLst>
              <a:ext uri="{FF2B5EF4-FFF2-40B4-BE49-F238E27FC236}">
                <a16:creationId xmlns:a16="http://schemas.microsoft.com/office/drawing/2014/main" id="{704A46B1-A935-4155-AF07-0D2909528867}"/>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26</xdr:col>
      <xdr:colOff>554902</xdr:colOff>
      <xdr:row>96</xdr:row>
      <xdr:rowOff>121084</xdr:rowOff>
    </xdr:from>
    <xdr:to>
      <xdr:col>28</xdr:col>
      <xdr:colOff>78426</xdr:colOff>
      <xdr:row>98</xdr:row>
      <xdr:rowOff>20889</xdr:rowOff>
    </xdr:to>
    <xdr:grpSp>
      <xdr:nvGrpSpPr>
        <xdr:cNvPr id="379" name="Agrupar 378">
          <a:extLst>
            <a:ext uri="{FF2B5EF4-FFF2-40B4-BE49-F238E27FC236}">
              <a16:creationId xmlns:a16="http://schemas.microsoft.com/office/drawing/2014/main" id="{8FE79A76-679E-48C3-B9AC-0A08049F64B5}"/>
            </a:ext>
          </a:extLst>
        </xdr:cNvPr>
        <xdr:cNvGrpSpPr/>
      </xdr:nvGrpSpPr>
      <xdr:grpSpPr>
        <a:xfrm>
          <a:off x="20385952" y="16132609"/>
          <a:ext cx="742724" cy="223655"/>
          <a:chOff x="19062700" y="8953482"/>
          <a:chExt cx="1202185" cy="279418"/>
        </a:xfrm>
      </xdr:grpSpPr>
      <xdr:sp macro="" textlink="">
        <xdr:nvSpPr>
          <xdr:cNvPr id="380" name="CaixaDeTexto 379">
            <a:extLst>
              <a:ext uri="{FF2B5EF4-FFF2-40B4-BE49-F238E27FC236}">
                <a16:creationId xmlns:a16="http://schemas.microsoft.com/office/drawing/2014/main" id="{BA1663AB-A7D9-4157-889F-65097467A8AD}"/>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81" name="Retângulo 380">
            <a:extLst>
              <a:ext uri="{FF2B5EF4-FFF2-40B4-BE49-F238E27FC236}">
                <a16:creationId xmlns:a16="http://schemas.microsoft.com/office/drawing/2014/main" id="{6CD05009-CBBB-4534-B1C6-84C11AFBCB0E}"/>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27</xdr:col>
      <xdr:colOff>340955</xdr:colOff>
      <xdr:row>107</xdr:row>
      <xdr:rowOff>53676</xdr:rowOff>
    </xdr:from>
    <xdr:to>
      <xdr:col>28</xdr:col>
      <xdr:colOff>472614</xdr:colOff>
      <xdr:row>108</xdr:row>
      <xdr:rowOff>114673</xdr:rowOff>
    </xdr:to>
    <xdr:grpSp>
      <xdr:nvGrpSpPr>
        <xdr:cNvPr id="382" name="Agrupar 381">
          <a:extLst>
            <a:ext uri="{FF2B5EF4-FFF2-40B4-BE49-F238E27FC236}">
              <a16:creationId xmlns:a16="http://schemas.microsoft.com/office/drawing/2014/main" id="{59C0955E-8733-4CC1-B77E-115EA39D1483}"/>
            </a:ext>
          </a:extLst>
        </xdr:cNvPr>
        <xdr:cNvGrpSpPr/>
      </xdr:nvGrpSpPr>
      <xdr:grpSpPr>
        <a:xfrm>
          <a:off x="20781605" y="17846376"/>
          <a:ext cx="741259" cy="222922"/>
          <a:chOff x="19062700" y="8953482"/>
          <a:chExt cx="1202185" cy="279418"/>
        </a:xfrm>
      </xdr:grpSpPr>
      <xdr:sp macro="" textlink="">
        <xdr:nvSpPr>
          <xdr:cNvPr id="383" name="CaixaDeTexto 382">
            <a:extLst>
              <a:ext uri="{FF2B5EF4-FFF2-40B4-BE49-F238E27FC236}">
                <a16:creationId xmlns:a16="http://schemas.microsoft.com/office/drawing/2014/main" id="{6A7074C1-25D6-48D4-A319-964008706184}"/>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6</a:t>
            </a:r>
            <a:endParaRPr lang="pt-BR" sz="900">
              <a:effectLst/>
            </a:endParaRPr>
          </a:p>
        </xdr:txBody>
      </xdr:sp>
      <xdr:sp macro="" textlink="">
        <xdr:nvSpPr>
          <xdr:cNvPr id="384" name="Retângulo 383">
            <a:extLst>
              <a:ext uri="{FF2B5EF4-FFF2-40B4-BE49-F238E27FC236}">
                <a16:creationId xmlns:a16="http://schemas.microsoft.com/office/drawing/2014/main" id="{3770488F-83BF-4B47-8FA4-78A308F3FACF}"/>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30</xdr:col>
      <xdr:colOff>222258</xdr:colOff>
      <xdr:row>111</xdr:row>
      <xdr:rowOff>88845</xdr:rowOff>
    </xdr:from>
    <xdr:to>
      <xdr:col>31</xdr:col>
      <xdr:colOff>353917</xdr:colOff>
      <xdr:row>112</xdr:row>
      <xdr:rowOff>149841</xdr:rowOff>
    </xdr:to>
    <xdr:grpSp>
      <xdr:nvGrpSpPr>
        <xdr:cNvPr id="385" name="Agrupar 384">
          <a:extLst>
            <a:ext uri="{FF2B5EF4-FFF2-40B4-BE49-F238E27FC236}">
              <a16:creationId xmlns:a16="http://schemas.microsoft.com/office/drawing/2014/main" id="{D280563F-A84F-4DC0-9AF1-188D0E118549}"/>
            </a:ext>
          </a:extLst>
        </xdr:cNvPr>
        <xdr:cNvGrpSpPr/>
      </xdr:nvGrpSpPr>
      <xdr:grpSpPr>
        <a:xfrm>
          <a:off x="22491708" y="18529245"/>
          <a:ext cx="741259" cy="222921"/>
          <a:chOff x="19062700" y="8953482"/>
          <a:chExt cx="1202185" cy="279418"/>
        </a:xfrm>
      </xdr:grpSpPr>
      <xdr:sp macro="" textlink="">
        <xdr:nvSpPr>
          <xdr:cNvPr id="386" name="CaixaDeTexto 385">
            <a:extLst>
              <a:ext uri="{FF2B5EF4-FFF2-40B4-BE49-F238E27FC236}">
                <a16:creationId xmlns:a16="http://schemas.microsoft.com/office/drawing/2014/main" id="{DFB652F0-3497-4014-9122-023D62BCDC4F}"/>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87" name="Retângulo 386">
            <a:extLst>
              <a:ext uri="{FF2B5EF4-FFF2-40B4-BE49-F238E27FC236}">
                <a16:creationId xmlns:a16="http://schemas.microsoft.com/office/drawing/2014/main" id="{008EC00C-6B2C-4646-80FA-CFD0357400FE}"/>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34</xdr:col>
      <xdr:colOff>141663</xdr:colOff>
      <xdr:row>111</xdr:row>
      <xdr:rowOff>140134</xdr:rowOff>
    </xdr:from>
    <xdr:to>
      <xdr:col>35</xdr:col>
      <xdr:colOff>273321</xdr:colOff>
      <xdr:row>113</xdr:row>
      <xdr:rowOff>39938</xdr:rowOff>
    </xdr:to>
    <xdr:grpSp>
      <xdr:nvGrpSpPr>
        <xdr:cNvPr id="388" name="Agrupar 387">
          <a:extLst>
            <a:ext uri="{FF2B5EF4-FFF2-40B4-BE49-F238E27FC236}">
              <a16:creationId xmlns:a16="http://schemas.microsoft.com/office/drawing/2014/main" id="{5BDCE852-6AC3-491D-A3CB-F40B7148F882}"/>
            </a:ext>
          </a:extLst>
        </xdr:cNvPr>
        <xdr:cNvGrpSpPr/>
      </xdr:nvGrpSpPr>
      <xdr:grpSpPr>
        <a:xfrm>
          <a:off x="24849513" y="18580534"/>
          <a:ext cx="741258" cy="223654"/>
          <a:chOff x="19062700" y="8953482"/>
          <a:chExt cx="1202185" cy="279418"/>
        </a:xfrm>
      </xdr:grpSpPr>
      <xdr:sp macro="" textlink="">
        <xdr:nvSpPr>
          <xdr:cNvPr id="389" name="CaixaDeTexto 388">
            <a:extLst>
              <a:ext uri="{FF2B5EF4-FFF2-40B4-BE49-F238E27FC236}">
                <a16:creationId xmlns:a16="http://schemas.microsoft.com/office/drawing/2014/main" id="{1B78AA7B-97EC-4845-90CB-A51C0639BE57}"/>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90" name="Retângulo 389">
            <a:extLst>
              <a:ext uri="{FF2B5EF4-FFF2-40B4-BE49-F238E27FC236}">
                <a16:creationId xmlns:a16="http://schemas.microsoft.com/office/drawing/2014/main" id="{353F9F6A-FD3A-4D67-8414-69D11933B60E}"/>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37</xdr:col>
      <xdr:colOff>578827</xdr:colOff>
      <xdr:row>112</xdr:row>
      <xdr:rowOff>51288</xdr:rowOff>
    </xdr:from>
    <xdr:to>
      <xdr:col>39</xdr:col>
      <xdr:colOff>102351</xdr:colOff>
      <xdr:row>113</xdr:row>
      <xdr:rowOff>112285</xdr:rowOff>
    </xdr:to>
    <xdr:grpSp>
      <xdr:nvGrpSpPr>
        <xdr:cNvPr id="391" name="Agrupar 390">
          <a:extLst>
            <a:ext uri="{FF2B5EF4-FFF2-40B4-BE49-F238E27FC236}">
              <a16:creationId xmlns:a16="http://schemas.microsoft.com/office/drawing/2014/main" id="{563A4F6B-9EF8-4215-BDCA-7F5A063122B0}"/>
            </a:ext>
          </a:extLst>
        </xdr:cNvPr>
        <xdr:cNvGrpSpPr/>
      </xdr:nvGrpSpPr>
      <xdr:grpSpPr>
        <a:xfrm>
          <a:off x="27115477" y="18653613"/>
          <a:ext cx="742724" cy="222922"/>
          <a:chOff x="19062700" y="8953482"/>
          <a:chExt cx="1202185" cy="279418"/>
        </a:xfrm>
      </xdr:grpSpPr>
      <xdr:sp macro="" textlink="">
        <xdr:nvSpPr>
          <xdr:cNvPr id="392" name="CaixaDeTexto 391">
            <a:extLst>
              <a:ext uri="{FF2B5EF4-FFF2-40B4-BE49-F238E27FC236}">
                <a16:creationId xmlns:a16="http://schemas.microsoft.com/office/drawing/2014/main" id="{E22444A4-7425-4AAF-91A8-B137D8A3CBFD}"/>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93" name="Retângulo 392">
            <a:extLst>
              <a:ext uri="{FF2B5EF4-FFF2-40B4-BE49-F238E27FC236}">
                <a16:creationId xmlns:a16="http://schemas.microsoft.com/office/drawing/2014/main" id="{A167CE75-F2DC-4135-B975-3AAA453A4BC6}"/>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42</xdr:col>
      <xdr:colOff>284285</xdr:colOff>
      <xdr:row>112</xdr:row>
      <xdr:rowOff>5862</xdr:rowOff>
    </xdr:from>
    <xdr:to>
      <xdr:col>43</xdr:col>
      <xdr:colOff>415943</xdr:colOff>
      <xdr:row>113</xdr:row>
      <xdr:rowOff>66859</xdr:rowOff>
    </xdr:to>
    <xdr:grpSp>
      <xdr:nvGrpSpPr>
        <xdr:cNvPr id="394" name="Agrupar 393">
          <a:extLst>
            <a:ext uri="{FF2B5EF4-FFF2-40B4-BE49-F238E27FC236}">
              <a16:creationId xmlns:a16="http://schemas.microsoft.com/office/drawing/2014/main" id="{DE28A08B-4F93-4641-84A9-71595AC1AB90}"/>
            </a:ext>
          </a:extLst>
        </xdr:cNvPr>
        <xdr:cNvGrpSpPr/>
      </xdr:nvGrpSpPr>
      <xdr:grpSpPr>
        <a:xfrm>
          <a:off x="29868935" y="18608187"/>
          <a:ext cx="741258" cy="222922"/>
          <a:chOff x="19062700" y="8953482"/>
          <a:chExt cx="1202185" cy="279418"/>
        </a:xfrm>
      </xdr:grpSpPr>
      <xdr:sp macro="" textlink="">
        <xdr:nvSpPr>
          <xdr:cNvPr id="395" name="CaixaDeTexto 394">
            <a:extLst>
              <a:ext uri="{FF2B5EF4-FFF2-40B4-BE49-F238E27FC236}">
                <a16:creationId xmlns:a16="http://schemas.microsoft.com/office/drawing/2014/main" id="{9C1B680B-12E4-4113-9E35-92B2F484B816}"/>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96" name="Retângulo 395">
            <a:extLst>
              <a:ext uri="{FF2B5EF4-FFF2-40B4-BE49-F238E27FC236}">
                <a16:creationId xmlns:a16="http://schemas.microsoft.com/office/drawing/2014/main" id="{2D635506-A4FA-47D4-9D92-233DE3E7D413}"/>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46</xdr:col>
      <xdr:colOff>246185</xdr:colOff>
      <xdr:row>111</xdr:row>
      <xdr:rowOff>158263</xdr:rowOff>
    </xdr:from>
    <xdr:to>
      <xdr:col>47</xdr:col>
      <xdr:colOff>377844</xdr:colOff>
      <xdr:row>113</xdr:row>
      <xdr:rowOff>58067</xdr:rowOff>
    </xdr:to>
    <xdr:grpSp>
      <xdr:nvGrpSpPr>
        <xdr:cNvPr id="397" name="Agrupar 396">
          <a:extLst>
            <a:ext uri="{FF2B5EF4-FFF2-40B4-BE49-F238E27FC236}">
              <a16:creationId xmlns:a16="http://schemas.microsoft.com/office/drawing/2014/main" id="{D524C04A-C12B-44BD-977C-9A440028DCDB}"/>
            </a:ext>
          </a:extLst>
        </xdr:cNvPr>
        <xdr:cNvGrpSpPr/>
      </xdr:nvGrpSpPr>
      <xdr:grpSpPr>
        <a:xfrm>
          <a:off x="32269235" y="18598663"/>
          <a:ext cx="741259" cy="223654"/>
          <a:chOff x="19062700" y="8953482"/>
          <a:chExt cx="1202185" cy="279418"/>
        </a:xfrm>
      </xdr:grpSpPr>
      <xdr:sp macro="" textlink="">
        <xdr:nvSpPr>
          <xdr:cNvPr id="398" name="CaixaDeTexto 397">
            <a:extLst>
              <a:ext uri="{FF2B5EF4-FFF2-40B4-BE49-F238E27FC236}">
                <a16:creationId xmlns:a16="http://schemas.microsoft.com/office/drawing/2014/main" id="{E44964EC-EA5F-4907-A020-34C8CF3080AA}"/>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399" name="Retângulo 398">
            <a:extLst>
              <a:ext uri="{FF2B5EF4-FFF2-40B4-BE49-F238E27FC236}">
                <a16:creationId xmlns:a16="http://schemas.microsoft.com/office/drawing/2014/main" id="{D238B801-1AF6-484F-B688-6C7DDC31D233}"/>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50</xdr:col>
      <xdr:colOff>0</xdr:colOff>
      <xdr:row>112</xdr:row>
      <xdr:rowOff>21980</xdr:rowOff>
    </xdr:from>
    <xdr:to>
      <xdr:col>51</xdr:col>
      <xdr:colOff>131658</xdr:colOff>
      <xdr:row>113</xdr:row>
      <xdr:rowOff>82977</xdr:rowOff>
    </xdr:to>
    <xdr:grpSp>
      <xdr:nvGrpSpPr>
        <xdr:cNvPr id="400" name="Agrupar 399">
          <a:extLst>
            <a:ext uri="{FF2B5EF4-FFF2-40B4-BE49-F238E27FC236}">
              <a16:creationId xmlns:a16="http://schemas.microsoft.com/office/drawing/2014/main" id="{5D0BC9B7-296A-42F7-AD13-7960130FD768}"/>
            </a:ext>
          </a:extLst>
        </xdr:cNvPr>
        <xdr:cNvGrpSpPr/>
      </xdr:nvGrpSpPr>
      <xdr:grpSpPr>
        <a:xfrm>
          <a:off x="34461450" y="18624305"/>
          <a:ext cx="741258" cy="222922"/>
          <a:chOff x="19062700" y="8953482"/>
          <a:chExt cx="1202185" cy="279418"/>
        </a:xfrm>
      </xdr:grpSpPr>
      <xdr:sp macro="" textlink="">
        <xdr:nvSpPr>
          <xdr:cNvPr id="401" name="CaixaDeTexto 400">
            <a:extLst>
              <a:ext uri="{FF2B5EF4-FFF2-40B4-BE49-F238E27FC236}">
                <a16:creationId xmlns:a16="http://schemas.microsoft.com/office/drawing/2014/main" id="{B46617A1-C758-496C-8B38-C9E171D2B8AC}"/>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02" name="Retângulo 401">
            <a:extLst>
              <a:ext uri="{FF2B5EF4-FFF2-40B4-BE49-F238E27FC236}">
                <a16:creationId xmlns:a16="http://schemas.microsoft.com/office/drawing/2014/main" id="{09CA8157-A5CD-46F3-932A-77594BA3366F}"/>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53</xdr:col>
      <xdr:colOff>496766</xdr:colOff>
      <xdr:row>112</xdr:row>
      <xdr:rowOff>13188</xdr:rowOff>
    </xdr:from>
    <xdr:to>
      <xdr:col>55</xdr:col>
      <xdr:colOff>20290</xdr:colOff>
      <xdr:row>113</xdr:row>
      <xdr:rowOff>74185</xdr:rowOff>
    </xdr:to>
    <xdr:grpSp>
      <xdr:nvGrpSpPr>
        <xdr:cNvPr id="403" name="Agrupar 402">
          <a:extLst>
            <a:ext uri="{FF2B5EF4-FFF2-40B4-BE49-F238E27FC236}">
              <a16:creationId xmlns:a16="http://schemas.microsoft.com/office/drawing/2014/main" id="{DF940B26-A154-452D-A242-4E2577F45BB9}"/>
            </a:ext>
          </a:extLst>
        </xdr:cNvPr>
        <xdr:cNvGrpSpPr/>
      </xdr:nvGrpSpPr>
      <xdr:grpSpPr>
        <a:xfrm>
          <a:off x="36787016" y="18615513"/>
          <a:ext cx="742724" cy="222922"/>
          <a:chOff x="19062700" y="8953482"/>
          <a:chExt cx="1202185" cy="279418"/>
        </a:xfrm>
      </xdr:grpSpPr>
      <xdr:sp macro="" textlink="">
        <xdr:nvSpPr>
          <xdr:cNvPr id="404" name="CaixaDeTexto 403">
            <a:extLst>
              <a:ext uri="{FF2B5EF4-FFF2-40B4-BE49-F238E27FC236}">
                <a16:creationId xmlns:a16="http://schemas.microsoft.com/office/drawing/2014/main" id="{038D0453-6FF3-43D0-BCEF-2BA7E2C68F71}"/>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05" name="Retângulo 404">
            <a:extLst>
              <a:ext uri="{FF2B5EF4-FFF2-40B4-BE49-F238E27FC236}">
                <a16:creationId xmlns:a16="http://schemas.microsoft.com/office/drawing/2014/main" id="{7FBEAA7C-DDE7-44A6-B15E-1D11AA424282}"/>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57</xdr:col>
      <xdr:colOff>253512</xdr:colOff>
      <xdr:row>112</xdr:row>
      <xdr:rowOff>55684</xdr:rowOff>
    </xdr:from>
    <xdr:to>
      <xdr:col>58</xdr:col>
      <xdr:colOff>385170</xdr:colOff>
      <xdr:row>113</xdr:row>
      <xdr:rowOff>116681</xdr:rowOff>
    </xdr:to>
    <xdr:grpSp>
      <xdr:nvGrpSpPr>
        <xdr:cNvPr id="406" name="Agrupar 405">
          <a:extLst>
            <a:ext uri="{FF2B5EF4-FFF2-40B4-BE49-F238E27FC236}">
              <a16:creationId xmlns:a16="http://schemas.microsoft.com/office/drawing/2014/main" id="{C19C34D1-5833-4B75-B9F6-EACA9CEAD7D9}"/>
            </a:ext>
          </a:extLst>
        </xdr:cNvPr>
        <xdr:cNvGrpSpPr/>
      </xdr:nvGrpSpPr>
      <xdr:grpSpPr>
        <a:xfrm>
          <a:off x="38982162" y="18658009"/>
          <a:ext cx="741258" cy="222922"/>
          <a:chOff x="19062700" y="8953482"/>
          <a:chExt cx="1202185" cy="279418"/>
        </a:xfrm>
      </xdr:grpSpPr>
      <xdr:sp macro="" textlink="">
        <xdr:nvSpPr>
          <xdr:cNvPr id="407" name="CaixaDeTexto 406">
            <a:extLst>
              <a:ext uri="{FF2B5EF4-FFF2-40B4-BE49-F238E27FC236}">
                <a16:creationId xmlns:a16="http://schemas.microsoft.com/office/drawing/2014/main" id="{946622AF-4CA4-426F-BED0-C2E2E96B269B}"/>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08" name="Retângulo 407">
            <a:extLst>
              <a:ext uri="{FF2B5EF4-FFF2-40B4-BE49-F238E27FC236}">
                <a16:creationId xmlns:a16="http://schemas.microsoft.com/office/drawing/2014/main" id="{EB3AA632-AB8A-496E-8DF8-4DECB708A679}"/>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60</xdr:col>
      <xdr:colOff>501161</xdr:colOff>
      <xdr:row>111</xdr:row>
      <xdr:rowOff>156796</xdr:rowOff>
    </xdr:from>
    <xdr:to>
      <xdr:col>62</xdr:col>
      <xdr:colOff>24685</xdr:colOff>
      <xdr:row>113</xdr:row>
      <xdr:rowOff>56600</xdr:rowOff>
    </xdr:to>
    <xdr:grpSp>
      <xdr:nvGrpSpPr>
        <xdr:cNvPr id="409" name="Agrupar 408">
          <a:extLst>
            <a:ext uri="{FF2B5EF4-FFF2-40B4-BE49-F238E27FC236}">
              <a16:creationId xmlns:a16="http://schemas.microsoft.com/office/drawing/2014/main" id="{BF5A8DCE-9BC1-470D-9D74-049EAD476BA3}"/>
            </a:ext>
          </a:extLst>
        </xdr:cNvPr>
        <xdr:cNvGrpSpPr/>
      </xdr:nvGrpSpPr>
      <xdr:grpSpPr>
        <a:xfrm>
          <a:off x="41058611" y="18597196"/>
          <a:ext cx="742724" cy="223654"/>
          <a:chOff x="19062700" y="8953482"/>
          <a:chExt cx="1202185" cy="279418"/>
        </a:xfrm>
      </xdr:grpSpPr>
      <xdr:sp macro="" textlink="">
        <xdr:nvSpPr>
          <xdr:cNvPr id="410" name="CaixaDeTexto 409">
            <a:extLst>
              <a:ext uri="{FF2B5EF4-FFF2-40B4-BE49-F238E27FC236}">
                <a16:creationId xmlns:a16="http://schemas.microsoft.com/office/drawing/2014/main" id="{13701B53-C272-455F-B132-14E07A9913EB}"/>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11" name="Retângulo 410">
            <a:extLst>
              <a:ext uri="{FF2B5EF4-FFF2-40B4-BE49-F238E27FC236}">
                <a16:creationId xmlns:a16="http://schemas.microsoft.com/office/drawing/2014/main" id="{0CC1C495-E2EE-4A91-B06D-27E137D81C15}"/>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64</xdr:col>
      <xdr:colOff>177310</xdr:colOff>
      <xdr:row>112</xdr:row>
      <xdr:rowOff>1465</xdr:rowOff>
    </xdr:from>
    <xdr:to>
      <xdr:col>65</xdr:col>
      <xdr:colOff>308969</xdr:colOff>
      <xdr:row>113</xdr:row>
      <xdr:rowOff>62462</xdr:rowOff>
    </xdr:to>
    <xdr:grpSp>
      <xdr:nvGrpSpPr>
        <xdr:cNvPr id="412" name="Agrupar 411">
          <a:extLst>
            <a:ext uri="{FF2B5EF4-FFF2-40B4-BE49-F238E27FC236}">
              <a16:creationId xmlns:a16="http://schemas.microsoft.com/office/drawing/2014/main" id="{627CD924-70FB-4993-B15D-C87E721C8679}"/>
            </a:ext>
          </a:extLst>
        </xdr:cNvPr>
        <xdr:cNvGrpSpPr/>
      </xdr:nvGrpSpPr>
      <xdr:grpSpPr>
        <a:xfrm>
          <a:off x="43173160" y="18603790"/>
          <a:ext cx="741259" cy="222922"/>
          <a:chOff x="19062700" y="8953482"/>
          <a:chExt cx="1202185" cy="279418"/>
        </a:xfrm>
      </xdr:grpSpPr>
      <xdr:sp macro="" textlink="">
        <xdr:nvSpPr>
          <xdr:cNvPr id="413" name="CaixaDeTexto 412">
            <a:extLst>
              <a:ext uri="{FF2B5EF4-FFF2-40B4-BE49-F238E27FC236}">
                <a16:creationId xmlns:a16="http://schemas.microsoft.com/office/drawing/2014/main" id="{D795294C-E27E-4DEF-A2EA-6684485C43BE}"/>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14" name="Retângulo 413">
            <a:extLst>
              <a:ext uri="{FF2B5EF4-FFF2-40B4-BE49-F238E27FC236}">
                <a16:creationId xmlns:a16="http://schemas.microsoft.com/office/drawing/2014/main" id="{8467CD1E-86CB-44C4-A7E1-747DBCD36403}"/>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67</xdr:col>
      <xdr:colOff>256442</xdr:colOff>
      <xdr:row>111</xdr:row>
      <xdr:rowOff>117230</xdr:rowOff>
    </xdr:from>
    <xdr:to>
      <xdr:col>68</xdr:col>
      <xdr:colOff>388100</xdr:colOff>
      <xdr:row>113</xdr:row>
      <xdr:rowOff>17034</xdr:rowOff>
    </xdr:to>
    <xdr:grpSp>
      <xdr:nvGrpSpPr>
        <xdr:cNvPr id="415" name="Agrupar 414">
          <a:extLst>
            <a:ext uri="{FF2B5EF4-FFF2-40B4-BE49-F238E27FC236}">
              <a16:creationId xmlns:a16="http://schemas.microsoft.com/office/drawing/2014/main" id="{E952A154-ABA7-4472-8638-DB6FFBACC43F}"/>
            </a:ext>
          </a:extLst>
        </xdr:cNvPr>
        <xdr:cNvGrpSpPr/>
      </xdr:nvGrpSpPr>
      <xdr:grpSpPr>
        <a:xfrm>
          <a:off x="45081092" y="18557630"/>
          <a:ext cx="741258" cy="223654"/>
          <a:chOff x="19062700" y="8953482"/>
          <a:chExt cx="1202185" cy="279418"/>
        </a:xfrm>
      </xdr:grpSpPr>
      <xdr:sp macro="" textlink="">
        <xdr:nvSpPr>
          <xdr:cNvPr id="416" name="CaixaDeTexto 415">
            <a:extLst>
              <a:ext uri="{FF2B5EF4-FFF2-40B4-BE49-F238E27FC236}">
                <a16:creationId xmlns:a16="http://schemas.microsoft.com/office/drawing/2014/main" id="{8CBE3CD4-5D99-4019-AB12-B02D6B3AED54}"/>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17" name="Retângulo 416">
            <a:extLst>
              <a:ext uri="{FF2B5EF4-FFF2-40B4-BE49-F238E27FC236}">
                <a16:creationId xmlns:a16="http://schemas.microsoft.com/office/drawing/2014/main" id="{31232350-878E-4F26-AC74-536BB272D656}"/>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70</xdr:col>
      <xdr:colOff>498231</xdr:colOff>
      <xdr:row>111</xdr:row>
      <xdr:rowOff>131884</xdr:rowOff>
    </xdr:from>
    <xdr:to>
      <xdr:col>72</xdr:col>
      <xdr:colOff>21754</xdr:colOff>
      <xdr:row>113</xdr:row>
      <xdr:rowOff>31688</xdr:rowOff>
    </xdr:to>
    <xdr:grpSp>
      <xdr:nvGrpSpPr>
        <xdr:cNvPr id="418" name="Agrupar 417">
          <a:extLst>
            <a:ext uri="{FF2B5EF4-FFF2-40B4-BE49-F238E27FC236}">
              <a16:creationId xmlns:a16="http://schemas.microsoft.com/office/drawing/2014/main" id="{030B9B99-46DB-4554-8365-1F428FFEF909}"/>
            </a:ext>
          </a:extLst>
        </xdr:cNvPr>
        <xdr:cNvGrpSpPr/>
      </xdr:nvGrpSpPr>
      <xdr:grpSpPr>
        <a:xfrm>
          <a:off x="47151681" y="18572284"/>
          <a:ext cx="742723" cy="223654"/>
          <a:chOff x="19062700" y="8953482"/>
          <a:chExt cx="1202185" cy="279418"/>
        </a:xfrm>
      </xdr:grpSpPr>
      <xdr:sp macro="" textlink="">
        <xdr:nvSpPr>
          <xdr:cNvPr id="419" name="CaixaDeTexto 418">
            <a:extLst>
              <a:ext uri="{FF2B5EF4-FFF2-40B4-BE49-F238E27FC236}">
                <a16:creationId xmlns:a16="http://schemas.microsoft.com/office/drawing/2014/main" id="{C14FB3E7-1967-4430-AF70-CFCC91A65B17}"/>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20" name="Retângulo 419">
            <a:extLst>
              <a:ext uri="{FF2B5EF4-FFF2-40B4-BE49-F238E27FC236}">
                <a16:creationId xmlns:a16="http://schemas.microsoft.com/office/drawing/2014/main" id="{F4753412-E5E4-482E-991C-D795BE5284C8}"/>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74</xdr:col>
      <xdr:colOff>109904</xdr:colOff>
      <xdr:row>111</xdr:row>
      <xdr:rowOff>131886</xdr:rowOff>
    </xdr:from>
    <xdr:to>
      <xdr:col>75</xdr:col>
      <xdr:colOff>241563</xdr:colOff>
      <xdr:row>113</xdr:row>
      <xdr:rowOff>31690</xdr:rowOff>
    </xdr:to>
    <xdr:grpSp>
      <xdr:nvGrpSpPr>
        <xdr:cNvPr id="421" name="Agrupar 420">
          <a:extLst>
            <a:ext uri="{FF2B5EF4-FFF2-40B4-BE49-F238E27FC236}">
              <a16:creationId xmlns:a16="http://schemas.microsoft.com/office/drawing/2014/main" id="{D91525D3-9B34-4956-AF7F-A3E526932E36}"/>
            </a:ext>
          </a:extLst>
        </xdr:cNvPr>
        <xdr:cNvGrpSpPr/>
      </xdr:nvGrpSpPr>
      <xdr:grpSpPr>
        <a:xfrm>
          <a:off x="49201754" y="18572286"/>
          <a:ext cx="741259" cy="223654"/>
          <a:chOff x="19062700" y="8953482"/>
          <a:chExt cx="1202185" cy="279418"/>
        </a:xfrm>
      </xdr:grpSpPr>
      <xdr:sp macro="" textlink="">
        <xdr:nvSpPr>
          <xdr:cNvPr id="422" name="CaixaDeTexto 421">
            <a:extLst>
              <a:ext uri="{FF2B5EF4-FFF2-40B4-BE49-F238E27FC236}">
                <a16:creationId xmlns:a16="http://schemas.microsoft.com/office/drawing/2014/main" id="{F443BFD5-08B1-40DB-8691-5096067C524F}"/>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23" name="Retângulo 422">
            <a:extLst>
              <a:ext uri="{FF2B5EF4-FFF2-40B4-BE49-F238E27FC236}">
                <a16:creationId xmlns:a16="http://schemas.microsoft.com/office/drawing/2014/main" id="{A5DB19E5-7C81-4C0F-AF97-414961797F05}"/>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77</xdr:col>
      <xdr:colOff>467458</xdr:colOff>
      <xdr:row>111</xdr:row>
      <xdr:rowOff>145074</xdr:rowOff>
    </xdr:from>
    <xdr:to>
      <xdr:col>78</xdr:col>
      <xdr:colOff>599117</xdr:colOff>
      <xdr:row>113</xdr:row>
      <xdr:rowOff>44878</xdr:rowOff>
    </xdr:to>
    <xdr:grpSp>
      <xdr:nvGrpSpPr>
        <xdr:cNvPr id="424" name="Agrupar 423">
          <a:extLst>
            <a:ext uri="{FF2B5EF4-FFF2-40B4-BE49-F238E27FC236}">
              <a16:creationId xmlns:a16="http://schemas.microsoft.com/office/drawing/2014/main" id="{DB1FC6BF-C4DF-440A-A25A-2BF23971223B}"/>
            </a:ext>
          </a:extLst>
        </xdr:cNvPr>
        <xdr:cNvGrpSpPr/>
      </xdr:nvGrpSpPr>
      <xdr:grpSpPr>
        <a:xfrm>
          <a:off x="51388108" y="18585474"/>
          <a:ext cx="741259" cy="223654"/>
          <a:chOff x="19062700" y="8953482"/>
          <a:chExt cx="1202185" cy="279418"/>
        </a:xfrm>
      </xdr:grpSpPr>
      <xdr:sp macro="" textlink="">
        <xdr:nvSpPr>
          <xdr:cNvPr id="425" name="CaixaDeTexto 424">
            <a:extLst>
              <a:ext uri="{FF2B5EF4-FFF2-40B4-BE49-F238E27FC236}">
                <a16:creationId xmlns:a16="http://schemas.microsoft.com/office/drawing/2014/main" id="{14D55B20-8ACD-4D3F-81A1-2F80D98F2058}"/>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26" name="Retângulo 425">
            <a:extLst>
              <a:ext uri="{FF2B5EF4-FFF2-40B4-BE49-F238E27FC236}">
                <a16:creationId xmlns:a16="http://schemas.microsoft.com/office/drawing/2014/main" id="{21144883-6DFB-4CA9-A3D2-B80A59D241BA}"/>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30</xdr:col>
      <xdr:colOff>0</xdr:colOff>
      <xdr:row>96</xdr:row>
      <xdr:rowOff>0</xdr:rowOff>
    </xdr:from>
    <xdr:to>
      <xdr:col>31</xdr:col>
      <xdr:colOff>131659</xdr:colOff>
      <xdr:row>97</xdr:row>
      <xdr:rowOff>60997</xdr:rowOff>
    </xdr:to>
    <xdr:grpSp>
      <xdr:nvGrpSpPr>
        <xdr:cNvPr id="427" name="Agrupar 426">
          <a:extLst>
            <a:ext uri="{FF2B5EF4-FFF2-40B4-BE49-F238E27FC236}">
              <a16:creationId xmlns:a16="http://schemas.microsoft.com/office/drawing/2014/main" id="{DBA99E21-7ABC-4A64-8627-B42EDA31DFC4}"/>
            </a:ext>
          </a:extLst>
        </xdr:cNvPr>
        <xdr:cNvGrpSpPr/>
      </xdr:nvGrpSpPr>
      <xdr:grpSpPr>
        <a:xfrm>
          <a:off x="22269450" y="16011525"/>
          <a:ext cx="741259" cy="222922"/>
          <a:chOff x="19062700" y="8953482"/>
          <a:chExt cx="1202185" cy="279418"/>
        </a:xfrm>
        <a:noFill/>
      </xdr:grpSpPr>
      <xdr:sp macro="" textlink="">
        <xdr:nvSpPr>
          <xdr:cNvPr id="428" name="CaixaDeTexto 427">
            <a:extLst>
              <a:ext uri="{FF2B5EF4-FFF2-40B4-BE49-F238E27FC236}">
                <a16:creationId xmlns:a16="http://schemas.microsoft.com/office/drawing/2014/main" id="{F3A83E5B-FD8E-49D1-A392-8384E2081C31}"/>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29" name="Retângulo 428">
            <a:extLst>
              <a:ext uri="{FF2B5EF4-FFF2-40B4-BE49-F238E27FC236}">
                <a16:creationId xmlns:a16="http://schemas.microsoft.com/office/drawing/2014/main" id="{6BD6463E-6B91-4BD1-A290-3E9BB1BB7D80}"/>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32</xdr:col>
      <xdr:colOff>577362</xdr:colOff>
      <xdr:row>96</xdr:row>
      <xdr:rowOff>5862</xdr:rowOff>
    </xdr:from>
    <xdr:to>
      <xdr:col>34</xdr:col>
      <xdr:colOff>100886</xdr:colOff>
      <xdr:row>97</xdr:row>
      <xdr:rowOff>66859</xdr:rowOff>
    </xdr:to>
    <xdr:grpSp>
      <xdr:nvGrpSpPr>
        <xdr:cNvPr id="430" name="Agrupar 429">
          <a:extLst>
            <a:ext uri="{FF2B5EF4-FFF2-40B4-BE49-F238E27FC236}">
              <a16:creationId xmlns:a16="http://schemas.microsoft.com/office/drawing/2014/main" id="{DFB9694B-8450-4963-81E9-88055DE25FEB}"/>
            </a:ext>
          </a:extLst>
        </xdr:cNvPr>
        <xdr:cNvGrpSpPr/>
      </xdr:nvGrpSpPr>
      <xdr:grpSpPr>
        <a:xfrm>
          <a:off x="24066012" y="16017387"/>
          <a:ext cx="742724" cy="222922"/>
          <a:chOff x="19062700" y="8953482"/>
          <a:chExt cx="1202185" cy="279418"/>
        </a:xfrm>
        <a:noFill/>
      </xdr:grpSpPr>
      <xdr:sp macro="" textlink="">
        <xdr:nvSpPr>
          <xdr:cNvPr id="431" name="CaixaDeTexto 430">
            <a:extLst>
              <a:ext uri="{FF2B5EF4-FFF2-40B4-BE49-F238E27FC236}">
                <a16:creationId xmlns:a16="http://schemas.microsoft.com/office/drawing/2014/main" id="{FD97DADD-60C9-4FD3-9B2A-FD15626BDA9F}"/>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32" name="Retângulo 431">
            <a:extLst>
              <a:ext uri="{FF2B5EF4-FFF2-40B4-BE49-F238E27FC236}">
                <a16:creationId xmlns:a16="http://schemas.microsoft.com/office/drawing/2014/main" id="{143B372F-3260-484B-A775-BC121F723329}"/>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36</xdr:col>
      <xdr:colOff>41032</xdr:colOff>
      <xdr:row>96</xdr:row>
      <xdr:rowOff>11724</xdr:rowOff>
    </xdr:from>
    <xdr:to>
      <xdr:col>37</xdr:col>
      <xdr:colOff>172690</xdr:colOff>
      <xdr:row>97</xdr:row>
      <xdr:rowOff>72721</xdr:rowOff>
    </xdr:to>
    <xdr:grpSp>
      <xdr:nvGrpSpPr>
        <xdr:cNvPr id="433" name="Agrupar 432">
          <a:extLst>
            <a:ext uri="{FF2B5EF4-FFF2-40B4-BE49-F238E27FC236}">
              <a16:creationId xmlns:a16="http://schemas.microsoft.com/office/drawing/2014/main" id="{8DC48276-52E6-45F5-BC1B-96AC6DEC3B29}"/>
            </a:ext>
          </a:extLst>
        </xdr:cNvPr>
        <xdr:cNvGrpSpPr/>
      </xdr:nvGrpSpPr>
      <xdr:grpSpPr>
        <a:xfrm>
          <a:off x="25968082" y="16023249"/>
          <a:ext cx="741258" cy="222922"/>
          <a:chOff x="19062700" y="8953482"/>
          <a:chExt cx="1202185" cy="279418"/>
        </a:xfrm>
        <a:noFill/>
      </xdr:grpSpPr>
      <xdr:sp macro="" textlink="">
        <xdr:nvSpPr>
          <xdr:cNvPr id="434" name="CaixaDeTexto 433">
            <a:extLst>
              <a:ext uri="{FF2B5EF4-FFF2-40B4-BE49-F238E27FC236}">
                <a16:creationId xmlns:a16="http://schemas.microsoft.com/office/drawing/2014/main" id="{0A909B87-43DE-4272-8360-C67CB4427F38}"/>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35" name="Retângulo 434">
            <a:extLst>
              <a:ext uri="{FF2B5EF4-FFF2-40B4-BE49-F238E27FC236}">
                <a16:creationId xmlns:a16="http://schemas.microsoft.com/office/drawing/2014/main" id="{DE2F1EBA-3B80-42B0-94B6-0A0A6E7468F8}"/>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39</xdr:col>
      <xdr:colOff>112836</xdr:colOff>
      <xdr:row>96</xdr:row>
      <xdr:rowOff>17586</xdr:rowOff>
    </xdr:from>
    <xdr:to>
      <xdr:col>40</xdr:col>
      <xdr:colOff>244494</xdr:colOff>
      <xdr:row>97</xdr:row>
      <xdr:rowOff>78583</xdr:rowOff>
    </xdr:to>
    <xdr:grpSp>
      <xdr:nvGrpSpPr>
        <xdr:cNvPr id="436" name="Agrupar 435">
          <a:extLst>
            <a:ext uri="{FF2B5EF4-FFF2-40B4-BE49-F238E27FC236}">
              <a16:creationId xmlns:a16="http://schemas.microsoft.com/office/drawing/2014/main" id="{B201B8A4-B70C-464E-864F-409EDC10C480}"/>
            </a:ext>
          </a:extLst>
        </xdr:cNvPr>
        <xdr:cNvGrpSpPr/>
      </xdr:nvGrpSpPr>
      <xdr:grpSpPr>
        <a:xfrm>
          <a:off x="27868686" y="16029111"/>
          <a:ext cx="741258" cy="222922"/>
          <a:chOff x="19062700" y="8953482"/>
          <a:chExt cx="1202185" cy="279418"/>
        </a:xfrm>
        <a:noFill/>
      </xdr:grpSpPr>
      <xdr:sp macro="" textlink="">
        <xdr:nvSpPr>
          <xdr:cNvPr id="437" name="CaixaDeTexto 436">
            <a:extLst>
              <a:ext uri="{FF2B5EF4-FFF2-40B4-BE49-F238E27FC236}">
                <a16:creationId xmlns:a16="http://schemas.microsoft.com/office/drawing/2014/main" id="{064D4813-743F-4D01-8DE4-CEAB6B51C932}"/>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38" name="Retângulo 437">
            <a:extLst>
              <a:ext uri="{FF2B5EF4-FFF2-40B4-BE49-F238E27FC236}">
                <a16:creationId xmlns:a16="http://schemas.microsoft.com/office/drawing/2014/main" id="{00E17887-2246-49FB-8302-4E398E12B2A4}"/>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6</xdr:col>
      <xdr:colOff>285752</xdr:colOff>
      <xdr:row>96</xdr:row>
      <xdr:rowOff>14653</xdr:rowOff>
    </xdr:from>
    <xdr:to>
      <xdr:col>7</xdr:col>
      <xdr:colOff>417410</xdr:colOff>
      <xdr:row>97</xdr:row>
      <xdr:rowOff>75650</xdr:rowOff>
    </xdr:to>
    <xdr:grpSp>
      <xdr:nvGrpSpPr>
        <xdr:cNvPr id="439" name="Agrupar 438">
          <a:extLst>
            <a:ext uri="{FF2B5EF4-FFF2-40B4-BE49-F238E27FC236}">
              <a16:creationId xmlns:a16="http://schemas.microsoft.com/office/drawing/2014/main" id="{FFCE7195-E401-47A1-9481-7C1726DB35E3}"/>
            </a:ext>
          </a:extLst>
        </xdr:cNvPr>
        <xdr:cNvGrpSpPr/>
      </xdr:nvGrpSpPr>
      <xdr:grpSpPr>
        <a:xfrm rot="1429320">
          <a:off x="7924802" y="16026178"/>
          <a:ext cx="741258" cy="222922"/>
          <a:chOff x="19062700" y="8953482"/>
          <a:chExt cx="1202185" cy="279418"/>
        </a:xfrm>
      </xdr:grpSpPr>
      <xdr:sp macro="" textlink="">
        <xdr:nvSpPr>
          <xdr:cNvPr id="440" name="CaixaDeTexto 439">
            <a:extLst>
              <a:ext uri="{FF2B5EF4-FFF2-40B4-BE49-F238E27FC236}">
                <a16:creationId xmlns:a16="http://schemas.microsoft.com/office/drawing/2014/main" id="{F443B4C7-28C7-4AA3-A4F5-DB66FE85F0AA}"/>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41" name="Retângulo 440">
            <a:extLst>
              <a:ext uri="{FF2B5EF4-FFF2-40B4-BE49-F238E27FC236}">
                <a16:creationId xmlns:a16="http://schemas.microsoft.com/office/drawing/2014/main" id="{B2A1C524-7DE0-499F-9A17-68657624B0D9}"/>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9</xdr:col>
      <xdr:colOff>337040</xdr:colOff>
      <xdr:row>98</xdr:row>
      <xdr:rowOff>109905</xdr:rowOff>
    </xdr:from>
    <xdr:to>
      <xdr:col>10</xdr:col>
      <xdr:colOff>468699</xdr:colOff>
      <xdr:row>100</xdr:row>
      <xdr:rowOff>9709</xdr:rowOff>
    </xdr:to>
    <xdr:grpSp>
      <xdr:nvGrpSpPr>
        <xdr:cNvPr id="442" name="Agrupar 441">
          <a:extLst>
            <a:ext uri="{FF2B5EF4-FFF2-40B4-BE49-F238E27FC236}">
              <a16:creationId xmlns:a16="http://schemas.microsoft.com/office/drawing/2014/main" id="{BC8A831D-A495-482C-A4C6-8EEFF74C5A19}"/>
            </a:ext>
          </a:extLst>
        </xdr:cNvPr>
        <xdr:cNvGrpSpPr/>
      </xdr:nvGrpSpPr>
      <xdr:grpSpPr>
        <a:xfrm rot="442533">
          <a:off x="9804890" y="16445280"/>
          <a:ext cx="741259" cy="223654"/>
          <a:chOff x="19062700" y="8953482"/>
          <a:chExt cx="1202185" cy="279418"/>
        </a:xfrm>
      </xdr:grpSpPr>
      <xdr:sp macro="" textlink="">
        <xdr:nvSpPr>
          <xdr:cNvPr id="443" name="CaixaDeTexto 442">
            <a:extLst>
              <a:ext uri="{FF2B5EF4-FFF2-40B4-BE49-F238E27FC236}">
                <a16:creationId xmlns:a16="http://schemas.microsoft.com/office/drawing/2014/main" id="{13ED4EBE-FB94-47E9-AD12-3E20317CAAE6}"/>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44" name="Retângulo 443">
            <a:extLst>
              <a:ext uri="{FF2B5EF4-FFF2-40B4-BE49-F238E27FC236}">
                <a16:creationId xmlns:a16="http://schemas.microsoft.com/office/drawing/2014/main" id="{4DFA09B2-D873-4F64-8105-130E1066C171}"/>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37</xdr:col>
      <xdr:colOff>66432</xdr:colOff>
      <xdr:row>106</xdr:row>
      <xdr:rowOff>29186</xdr:rowOff>
    </xdr:from>
    <xdr:to>
      <xdr:col>38</xdr:col>
      <xdr:colOff>198091</xdr:colOff>
      <xdr:row>107</xdr:row>
      <xdr:rowOff>90183</xdr:rowOff>
    </xdr:to>
    <xdr:grpSp>
      <xdr:nvGrpSpPr>
        <xdr:cNvPr id="445" name="Agrupar 444">
          <a:extLst>
            <a:ext uri="{FF2B5EF4-FFF2-40B4-BE49-F238E27FC236}">
              <a16:creationId xmlns:a16="http://schemas.microsoft.com/office/drawing/2014/main" id="{FFA78C07-2B75-4F61-AE87-B7BB170F0943}"/>
            </a:ext>
          </a:extLst>
        </xdr:cNvPr>
        <xdr:cNvGrpSpPr/>
      </xdr:nvGrpSpPr>
      <xdr:grpSpPr>
        <a:xfrm>
          <a:off x="26603082" y="17659961"/>
          <a:ext cx="741259" cy="222922"/>
          <a:chOff x="19062700" y="8953482"/>
          <a:chExt cx="1202185" cy="279418"/>
        </a:xfrm>
        <a:noFill/>
      </xdr:grpSpPr>
      <xdr:sp macro="" textlink="">
        <xdr:nvSpPr>
          <xdr:cNvPr id="446" name="CaixaDeTexto 445">
            <a:extLst>
              <a:ext uri="{FF2B5EF4-FFF2-40B4-BE49-F238E27FC236}">
                <a16:creationId xmlns:a16="http://schemas.microsoft.com/office/drawing/2014/main" id="{7A268564-BE1F-4C5B-8588-50BE936227B8}"/>
              </a:ext>
            </a:extLst>
          </xdr:cNvPr>
          <xdr:cNvSpPr txBox="1"/>
        </xdr:nvSpPr>
        <xdr:spPr>
          <a:xfrm>
            <a:off x="19108983" y="8953482"/>
            <a:ext cx="1155902" cy="27008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3</a:t>
            </a:r>
            <a:endParaRPr lang="pt-BR" sz="900">
              <a:effectLst/>
            </a:endParaRPr>
          </a:p>
        </xdr:txBody>
      </xdr:sp>
      <xdr:sp macro="" textlink="">
        <xdr:nvSpPr>
          <xdr:cNvPr id="447" name="Retângulo 446">
            <a:extLst>
              <a:ext uri="{FF2B5EF4-FFF2-40B4-BE49-F238E27FC236}">
                <a16:creationId xmlns:a16="http://schemas.microsoft.com/office/drawing/2014/main" id="{D6C1F614-0122-4D9B-98ED-A0585EC0E653}"/>
              </a:ext>
            </a:extLst>
          </xdr:cNvPr>
          <xdr:cNvSpPr/>
        </xdr:nvSpPr>
        <xdr:spPr>
          <a:xfrm>
            <a:off x="19062700" y="8966200"/>
            <a:ext cx="1155700" cy="2667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39</xdr:col>
      <xdr:colOff>579437</xdr:colOff>
      <xdr:row>106</xdr:row>
      <xdr:rowOff>7937</xdr:rowOff>
    </xdr:from>
    <xdr:to>
      <xdr:col>41</xdr:col>
      <xdr:colOff>102961</xdr:colOff>
      <xdr:row>107</xdr:row>
      <xdr:rowOff>68933</xdr:rowOff>
    </xdr:to>
    <xdr:grpSp>
      <xdr:nvGrpSpPr>
        <xdr:cNvPr id="448" name="Agrupar 447">
          <a:extLst>
            <a:ext uri="{FF2B5EF4-FFF2-40B4-BE49-F238E27FC236}">
              <a16:creationId xmlns:a16="http://schemas.microsoft.com/office/drawing/2014/main" id="{BB6D6919-2AB5-4D48-AD03-CF1BF86B9AB8}"/>
            </a:ext>
          </a:extLst>
        </xdr:cNvPr>
        <xdr:cNvGrpSpPr/>
      </xdr:nvGrpSpPr>
      <xdr:grpSpPr>
        <a:xfrm>
          <a:off x="28335287" y="17638712"/>
          <a:ext cx="742724" cy="222921"/>
          <a:chOff x="19062700" y="8953482"/>
          <a:chExt cx="1202185" cy="279418"/>
        </a:xfrm>
      </xdr:grpSpPr>
      <xdr:sp macro="" textlink="">
        <xdr:nvSpPr>
          <xdr:cNvPr id="449" name="CaixaDeTexto 448">
            <a:extLst>
              <a:ext uri="{FF2B5EF4-FFF2-40B4-BE49-F238E27FC236}">
                <a16:creationId xmlns:a16="http://schemas.microsoft.com/office/drawing/2014/main" id="{027D8380-9772-4758-AAEF-E717C3001AF1}"/>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3</a:t>
            </a:r>
            <a:endParaRPr lang="pt-BR" sz="900">
              <a:effectLst/>
            </a:endParaRPr>
          </a:p>
        </xdr:txBody>
      </xdr:sp>
      <xdr:sp macro="" textlink="">
        <xdr:nvSpPr>
          <xdr:cNvPr id="450" name="Retângulo 449">
            <a:extLst>
              <a:ext uri="{FF2B5EF4-FFF2-40B4-BE49-F238E27FC236}">
                <a16:creationId xmlns:a16="http://schemas.microsoft.com/office/drawing/2014/main" id="{59AABD78-2348-4B85-985B-F41EA2AE3D8A}"/>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42</xdr:col>
      <xdr:colOff>485775</xdr:colOff>
      <xdr:row>106</xdr:row>
      <xdr:rowOff>17462</xdr:rowOff>
    </xdr:from>
    <xdr:to>
      <xdr:col>44</xdr:col>
      <xdr:colOff>9299</xdr:colOff>
      <xdr:row>107</xdr:row>
      <xdr:rowOff>78458</xdr:rowOff>
    </xdr:to>
    <xdr:grpSp>
      <xdr:nvGrpSpPr>
        <xdr:cNvPr id="451" name="Agrupar 450">
          <a:extLst>
            <a:ext uri="{FF2B5EF4-FFF2-40B4-BE49-F238E27FC236}">
              <a16:creationId xmlns:a16="http://schemas.microsoft.com/office/drawing/2014/main" id="{3F18C3C8-BBEC-468B-A80D-69A84560BC33}"/>
            </a:ext>
          </a:extLst>
        </xdr:cNvPr>
        <xdr:cNvGrpSpPr/>
      </xdr:nvGrpSpPr>
      <xdr:grpSpPr>
        <a:xfrm>
          <a:off x="30070425" y="17648237"/>
          <a:ext cx="742724" cy="222921"/>
          <a:chOff x="19062700" y="8953482"/>
          <a:chExt cx="1202185" cy="279418"/>
        </a:xfrm>
      </xdr:grpSpPr>
      <xdr:sp macro="" textlink="">
        <xdr:nvSpPr>
          <xdr:cNvPr id="452" name="CaixaDeTexto 451">
            <a:extLst>
              <a:ext uri="{FF2B5EF4-FFF2-40B4-BE49-F238E27FC236}">
                <a16:creationId xmlns:a16="http://schemas.microsoft.com/office/drawing/2014/main" id="{5656D592-8A53-43EB-B39E-8C5EB9DE9C2B}"/>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3</a:t>
            </a:r>
            <a:endParaRPr lang="pt-BR" sz="900">
              <a:effectLst/>
            </a:endParaRPr>
          </a:p>
        </xdr:txBody>
      </xdr:sp>
      <xdr:sp macro="" textlink="">
        <xdr:nvSpPr>
          <xdr:cNvPr id="453" name="Retângulo 452">
            <a:extLst>
              <a:ext uri="{FF2B5EF4-FFF2-40B4-BE49-F238E27FC236}">
                <a16:creationId xmlns:a16="http://schemas.microsoft.com/office/drawing/2014/main" id="{E167C285-4839-48B5-8CED-25F8EAED6B3C}"/>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12</xdr:col>
      <xdr:colOff>571501</xdr:colOff>
      <xdr:row>68</xdr:row>
      <xdr:rowOff>95250</xdr:rowOff>
    </xdr:from>
    <xdr:to>
      <xdr:col>14</xdr:col>
      <xdr:colOff>95025</xdr:colOff>
      <xdr:row>69</xdr:row>
      <xdr:rowOff>156246</xdr:rowOff>
    </xdr:to>
    <xdr:grpSp>
      <xdr:nvGrpSpPr>
        <xdr:cNvPr id="454" name="Agrupar 453">
          <a:extLst>
            <a:ext uri="{FF2B5EF4-FFF2-40B4-BE49-F238E27FC236}">
              <a16:creationId xmlns:a16="http://schemas.microsoft.com/office/drawing/2014/main" id="{03921435-8103-4D65-9A2B-CC84C6E5F06D}"/>
            </a:ext>
          </a:extLst>
        </xdr:cNvPr>
        <xdr:cNvGrpSpPr/>
      </xdr:nvGrpSpPr>
      <xdr:grpSpPr>
        <a:xfrm rot="20345677">
          <a:off x="11868151" y="11572875"/>
          <a:ext cx="742724" cy="222921"/>
          <a:chOff x="19062700" y="8953482"/>
          <a:chExt cx="1202185" cy="279418"/>
        </a:xfrm>
      </xdr:grpSpPr>
      <xdr:sp macro="" textlink="">
        <xdr:nvSpPr>
          <xdr:cNvPr id="455" name="CaixaDeTexto 454">
            <a:extLst>
              <a:ext uri="{FF2B5EF4-FFF2-40B4-BE49-F238E27FC236}">
                <a16:creationId xmlns:a16="http://schemas.microsoft.com/office/drawing/2014/main" id="{4E3B2162-F947-4097-8CD3-64ED378FB372}"/>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56" name="Retângulo 455">
            <a:extLst>
              <a:ext uri="{FF2B5EF4-FFF2-40B4-BE49-F238E27FC236}">
                <a16:creationId xmlns:a16="http://schemas.microsoft.com/office/drawing/2014/main" id="{80CEF52E-AE94-4881-B16C-2CE4A997AAB6}"/>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14</xdr:col>
      <xdr:colOff>128589</xdr:colOff>
      <xdr:row>73</xdr:row>
      <xdr:rowOff>49213</xdr:rowOff>
    </xdr:from>
    <xdr:to>
      <xdr:col>15</xdr:col>
      <xdr:colOff>263300</xdr:colOff>
      <xdr:row>74</xdr:row>
      <xdr:rowOff>110209</xdr:rowOff>
    </xdr:to>
    <xdr:grpSp>
      <xdr:nvGrpSpPr>
        <xdr:cNvPr id="457" name="Agrupar 456">
          <a:extLst>
            <a:ext uri="{FF2B5EF4-FFF2-40B4-BE49-F238E27FC236}">
              <a16:creationId xmlns:a16="http://schemas.microsoft.com/office/drawing/2014/main" id="{74775616-FE15-4D26-8148-EC4274429C7D}"/>
            </a:ext>
          </a:extLst>
        </xdr:cNvPr>
        <xdr:cNvGrpSpPr/>
      </xdr:nvGrpSpPr>
      <xdr:grpSpPr>
        <a:xfrm>
          <a:off x="12644439" y="12336463"/>
          <a:ext cx="744311" cy="222921"/>
          <a:chOff x="19062700" y="8953482"/>
          <a:chExt cx="1202185" cy="279418"/>
        </a:xfrm>
      </xdr:grpSpPr>
      <xdr:sp macro="" textlink="">
        <xdr:nvSpPr>
          <xdr:cNvPr id="458" name="CaixaDeTexto 457">
            <a:extLst>
              <a:ext uri="{FF2B5EF4-FFF2-40B4-BE49-F238E27FC236}">
                <a16:creationId xmlns:a16="http://schemas.microsoft.com/office/drawing/2014/main" id="{362A020F-6A7E-4B13-9499-341D5CB2E48E}"/>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59" name="Retângulo 458">
            <a:extLst>
              <a:ext uri="{FF2B5EF4-FFF2-40B4-BE49-F238E27FC236}">
                <a16:creationId xmlns:a16="http://schemas.microsoft.com/office/drawing/2014/main" id="{584A2DBA-C8B1-42D8-BF5B-A1C89B703B7E}"/>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14</xdr:col>
      <xdr:colOff>119063</xdr:colOff>
      <xdr:row>79</xdr:row>
      <xdr:rowOff>55562</xdr:rowOff>
    </xdr:from>
    <xdr:to>
      <xdr:col>15</xdr:col>
      <xdr:colOff>253774</xdr:colOff>
      <xdr:row>80</xdr:row>
      <xdr:rowOff>116558</xdr:rowOff>
    </xdr:to>
    <xdr:grpSp>
      <xdr:nvGrpSpPr>
        <xdr:cNvPr id="460" name="Agrupar 459">
          <a:extLst>
            <a:ext uri="{FF2B5EF4-FFF2-40B4-BE49-F238E27FC236}">
              <a16:creationId xmlns:a16="http://schemas.microsoft.com/office/drawing/2014/main" id="{BBB642A3-E498-4D98-AA69-A9525AB438AF}"/>
            </a:ext>
          </a:extLst>
        </xdr:cNvPr>
        <xdr:cNvGrpSpPr/>
      </xdr:nvGrpSpPr>
      <xdr:grpSpPr>
        <a:xfrm rot="442533">
          <a:off x="12634913" y="13314362"/>
          <a:ext cx="744311" cy="222921"/>
          <a:chOff x="19062700" y="8953482"/>
          <a:chExt cx="1202185" cy="279418"/>
        </a:xfrm>
      </xdr:grpSpPr>
      <xdr:sp macro="" textlink="">
        <xdr:nvSpPr>
          <xdr:cNvPr id="461" name="CaixaDeTexto 460">
            <a:extLst>
              <a:ext uri="{FF2B5EF4-FFF2-40B4-BE49-F238E27FC236}">
                <a16:creationId xmlns:a16="http://schemas.microsoft.com/office/drawing/2014/main" id="{0138D69E-578A-4ED4-B2C7-F3907B2450CB}"/>
              </a:ext>
            </a:extLst>
          </xdr:cNvPr>
          <xdr:cNvSpPr txBox="1"/>
        </xdr:nvSpPr>
        <xdr:spPr>
          <a:xfrm>
            <a:off x="19108983" y="8953482"/>
            <a:ext cx="1155902" cy="270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62" name="Retângulo 461">
            <a:extLst>
              <a:ext uri="{FF2B5EF4-FFF2-40B4-BE49-F238E27FC236}">
                <a16:creationId xmlns:a16="http://schemas.microsoft.com/office/drawing/2014/main" id="{B919858F-8EED-4FA5-902B-BD30E0D41CBA}"/>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6</xdr:col>
      <xdr:colOff>528204</xdr:colOff>
      <xdr:row>81</xdr:row>
      <xdr:rowOff>51955</xdr:rowOff>
    </xdr:from>
    <xdr:to>
      <xdr:col>8</xdr:col>
      <xdr:colOff>51728</xdr:colOff>
      <xdr:row>82</xdr:row>
      <xdr:rowOff>116283</xdr:rowOff>
    </xdr:to>
    <xdr:grpSp>
      <xdr:nvGrpSpPr>
        <xdr:cNvPr id="463" name="Agrupar 462">
          <a:extLst>
            <a:ext uri="{FF2B5EF4-FFF2-40B4-BE49-F238E27FC236}">
              <a16:creationId xmlns:a16="http://schemas.microsoft.com/office/drawing/2014/main" id="{33689FC6-C1D0-4BE0-A28E-638FD0E12BBE}"/>
            </a:ext>
          </a:extLst>
        </xdr:cNvPr>
        <xdr:cNvGrpSpPr/>
      </xdr:nvGrpSpPr>
      <xdr:grpSpPr>
        <a:xfrm rot="1318306">
          <a:off x="8167254" y="13634605"/>
          <a:ext cx="742724" cy="226253"/>
          <a:chOff x="19062700" y="8953482"/>
          <a:chExt cx="1202185" cy="279418"/>
        </a:xfrm>
      </xdr:grpSpPr>
      <xdr:sp macro="" textlink="">
        <xdr:nvSpPr>
          <xdr:cNvPr id="464" name="CaixaDeTexto 463">
            <a:extLst>
              <a:ext uri="{FF2B5EF4-FFF2-40B4-BE49-F238E27FC236}">
                <a16:creationId xmlns:a16="http://schemas.microsoft.com/office/drawing/2014/main" id="{83B9F7A6-D2E2-441A-B5DE-1E37D5223663}"/>
              </a:ext>
            </a:extLst>
          </xdr:cNvPr>
          <xdr:cNvSpPr txBox="1"/>
        </xdr:nvSpPr>
        <xdr:spPr>
          <a:xfrm>
            <a:off x="19108983" y="8953482"/>
            <a:ext cx="1155902" cy="270087"/>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pt-BR" sz="900" b="1">
                <a:solidFill>
                  <a:schemeClr val="dk1"/>
                </a:solidFill>
                <a:effectLst/>
                <a:latin typeface="+mn-lt"/>
                <a:ea typeface="+mn-ea"/>
                <a:cs typeface="+mn-cs"/>
              </a:rPr>
              <a:t>FOLGA</a:t>
            </a:r>
            <a:r>
              <a:rPr lang="pt-BR" sz="900" b="1" baseline="0">
                <a:solidFill>
                  <a:schemeClr val="dk1"/>
                </a:solidFill>
                <a:effectLst/>
                <a:latin typeface="+mn-lt"/>
                <a:ea typeface="+mn-ea"/>
                <a:cs typeface="+mn-cs"/>
              </a:rPr>
              <a:t> = 0</a:t>
            </a:r>
            <a:endParaRPr lang="pt-BR" sz="900">
              <a:effectLst/>
            </a:endParaRPr>
          </a:p>
        </xdr:txBody>
      </xdr:sp>
      <xdr:sp macro="" textlink="">
        <xdr:nvSpPr>
          <xdr:cNvPr id="465" name="Retângulo 464">
            <a:extLst>
              <a:ext uri="{FF2B5EF4-FFF2-40B4-BE49-F238E27FC236}">
                <a16:creationId xmlns:a16="http://schemas.microsoft.com/office/drawing/2014/main" id="{AA03F61C-F6AA-4216-8054-066AF22031D8}"/>
              </a:ext>
            </a:extLst>
          </xdr:cNvPr>
          <xdr:cNvSpPr/>
        </xdr:nvSpPr>
        <xdr:spPr>
          <a:xfrm>
            <a:off x="19062700" y="8966200"/>
            <a:ext cx="1155700" cy="26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8</xdr:col>
      <xdr:colOff>666750</xdr:colOff>
      <xdr:row>8</xdr:row>
      <xdr:rowOff>63500</xdr:rowOff>
    </xdr:from>
    <xdr:ext cx="1053923" cy="494506"/>
    <xdr:pic>
      <xdr:nvPicPr>
        <xdr:cNvPr id="2" name="Picture 3">
          <a:hlinkClick xmlns:r="http://schemas.openxmlformats.org/officeDocument/2006/relationships" r:id="rId1"/>
          <a:extLst>
            <a:ext uri="{FF2B5EF4-FFF2-40B4-BE49-F238E27FC236}">
              <a16:creationId xmlns:a16="http://schemas.microsoft.com/office/drawing/2014/main" id="{98F34EE1-3712-4EB8-8398-F72A201514C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15275" y="1358900"/>
          <a:ext cx="1053923" cy="494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xdr:col>
      <xdr:colOff>20055</xdr:colOff>
      <xdr:row>5</xdr:row>
      <xdr:rowOff>135152</xdr:rowOff>
    </xdr:from>
    <xdr:to>
      <xdr:col>1</xdr:col>
      <xdr:colOff>503601</xdr:colOff>
      <xdr:row>8</xdr:row>
      <xdr:rowOff>106680</xdr:rowOff>
    </xdr:to>
    <xdr:pic>
      <xdr:nvPicPr>
        <xdr:cNvPr id="3" name="Imagem 2" descr="Logotipo De Saúde E Bem Estar Design De Logotipo De Centro ...">
          <a:extLst>
            <a:ext uri="{FF2B5EF4-FFF2-40B4-BE49-F238E27FC236}">
              <a16:creationId xmlns:a16="http://schemas.microsoft.com/office/drawing/2014/main" id="{F849A25B-2528-4417-96A2-20A2FB3579D6}"/>
            </a:ext>
          </a:extLst>
        </xdr:cNvPr>
        <xdr:cNvPicPr>
          <a:picLocks noChangeAspect="1" noChangeArrowheads="1"/>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rcRect/>
        <a:stretch>
          <a:fillRect/>
        </a:stretch>
      </xdr:blipFill>
      <xdr:spPr bwMode="auto">
        <a:xfrm>
          <a:off x="191505" y="944777"/>
          <a:ext cx="483546" cy="4573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285750</xdr:colOff>
      <xdr:row>0</xdr:row>
      <xdr:rowOff>138112</xdr:rowOff>
    </xdr:from>
    <xdr:to>
      <xdr:col>15</xdr:col>
      <xdr:colOff>590550</xdr:colOff>
      <xdr:row>17</xdr:row>
      <xdr:rowOff>128587</xdr:rowOff>
    </xdr:to>
    <xdr:graphicFrame macro="">
      <xdr:nvGraphicFramePr>
        <xdr:cNvPr id="2" name="Chart 1">
          <a:extLst>
            <a:ext uri="{FF2B5EF4-FFF2-40B4-BE49-F238E27FC236}">
              <a16:creationId xmlns:a16="http://schemas.microsoft.com/office/drawing/2014/main" id="{AB9F4141-0E6E-4A82-B25B-796FE2104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114300</xdr:colOff>
      <xdr:row>7</xdr:row>
      <xdr:rowOff>142875</xdr:rowOff>
    </xdr:from>
    <xdr:to>
      <xdr:col>10</xdr:col>
      <xdr:colOff>523875</xdr:colOff>
      <xdr:row>11</xdr:row>
      <xdr:rowOff>0</xdr:rowOff>
    </xdr:to>
    <xdr:sp macro="" textlink="">
      <xdr:nvSpPr>
        <xdr:cNvPr id="2" name="Retângulo: Cantos Arredondados 1">
          <a:extLst>
            <a:ext uri="{FF2B5EF4-FFF2-40B4-BE49-F238E27FC236}">
              <a16:creationId xmlns:a16="http://schemas.microsoft.com/office/drawing/2014/main" id="{9BB6EA48-7F42-4773-A028-31D95DBAC7ED}"/>
            </a:ext>
          </a:extLst>
        </xdr:cNvPr>
        <xdr:cNvSpPr/>
      </xdr:nvSpPr>
      <xdr:spPr>
        <a:xfrm>
          <a:off x="5600700" y="1276350"/>
          <a:ext cx="1019175" cy="50482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pt-BR" sz="1600" b="1"/>
            <a:t>Calogic</a:t>
          </a:r>
        </a:p>
      </xdr:txBody>
    </xdr:sp>
    <xdr:clientData/>
  </xdr:twoCellAnchor>
  <xdr:twoCellAnchor>
    <xdr:from>
      <xdr:col>8</xdr:col>
      <xdr:colOff>333375</xdr:colOff>
      <xdr:row>13</xdr:row>
      <xdr:rowOff>76200</xdr:rowOff>
    </xdr:from>
    <xdr:to>
      <xdr:col>11</xdr:col>
      <xdr:colOff>333375</xdr:colOff>
      <xdr:row>16</xdr:row>
      <xdr:rowOff>95250</xdr:rowOff>
    </xdr:to>
    <xdr:sp macro="" textlink="">
      <xdr:nvSpPr>
        <xdr:cNvPr id="3" name="Retângulo: Cantos Arredondados 2">
          <a:extLst>
            <a:ext uri="{FF2B5EF4-FFF2-40B4-BE49-F238E27FC236}">
              <a16:creationId xmlns:a16="http://schemas.microsoft.com/office/drawing/2014/main" id="{7D584136-6946-405C-933A-E1668D530F4F}"/>
            </a:ext>
          </a:extLst>
        </xdr:cNvPr>
        <xdr:cNvSpPr/>
      </xdr:nvSpPr>
      <xdr:spPr>
        <a:xfrm>
          <a:off x="5210175" y="2181225"/>
          <a:ext cx="1828800" cy="50482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pt-BR" sz="1100" b="1"/>
            <a:t>Kaique</a:t>
          </a:r>
          <a:r>
            <a:rPr lang="pt-BR" sz="1100" b="1" baseline="0"/>
            <a:t> Neres</a:t>
          </a:r>
        </a:p>
        <a:p>
          <a:pPr algn="ctr"/>
          <a:r>
            <a:rPr lang="pt-BR" sz="1100" b="1" baseline="0"/>
            <a:t>Gerente de projeto</a:t>
          </a:r>
          <a:endParaRPr lang="pt-BR" sz="1100" b="1"/>
        </a:p>
      </xdr:txBody>
    </xdr:sp>
    <xdr:clientData/>
  </xdr:twoCellAnchor>
  <xdr:twoCellAnchor>
    <xdr:from>
      <xdr:col>10</xdr:col>
      <xdr:colOff>14287</xdr:colOff>
      <xdr:row>11</xdr:row>
      <xdr:rowOff>0</xdr:rowOff>
    </xdr:from>
    <xdr:to>
      <xdr:col>10</xdr:col>
      <xdr:colOff>14287</xdr:colOff>
      <xdr:row>13</xdr:row>
      <xdr:rowOff>72150</xdr:rowOff>
    </xdr:to>
    <xdr:cxnSp macro="">
      <xdr:nvCxnSpPr>
        <xdr:cNvPr id="4" name="Conector reto 3">
          <a:extLst>
            <a:ext uri="{FF2B5EF4-FFF2-40B4-BE49-F238E27FC236}">
              <a16:creationId xmlns:a16="http://schemas.microsoft.com/office/drawing/2014/main" id="{2192160A-9706-459F-AA68-1A87E08E4B00}"/>
            </a:ext>
          </a:extLst>
        </xdr:cNvPr>
        <xdr:cNvCxnSpPr>
          <a:stCxn id="2" idx="2"/>
          <a:endCxn id="3" idx="0"/>
        </xdr:cNvCxnSpPr>
      </xdr:nvCxnSpPr>
      <xdr:spPr>
        <a:xfrm>
          <a:off x="6110287" y="1781175"/>
          <a:ext cx="0" cy="396000"/>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600075</xdr:colOff>
      <xdr:row>19</xdr:row>
      <xdr:rowOff>28575</xdr:rowOff>
    </xdr:from>
    <xdr:to>
      <xdr:col>5</xdr:col>
      <xdr:colOff>600075</xdr:colOff>
      <xdr:row>22</xdr:row>
      <xdr:rowOff>47625</xdr:rowOff>
    </xdr:to>
    <xdr:sp macro="" textlink="">
      <xdr:nvSpPr>
        <xdr:cNvPr id="5" name="Retângulo: Cantos Arredondados 4">
          <a:extLst>
            <a:ext uri="{FF2B5EF4-FFF2-40B4-BE49-F238E27FC236}">
              <a16:creationId xmlns:a16="http://schemas.microsoft.com/office/drawing/2014/main" id="{B535230E-B413-4AFE-9F28-34C3FF0EC817}"/>
            </a:ext>
          </a:extLst>
        </xdr:cNvPr>
        <xdr:cNvSpPr/>
      </xdr:nvSpPr>
      <xdr:spPr>
        <a:xfrm>
          <a:off x="1819275" y="3105150"/>
          <a:ext cx="1828800" cy="50482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pt-BR" sz="1100" b="1" baseline="0"/>
            <a:t>Isabela Nunes</a:t>
          </a:r>
        </a:p>
        <a:p>
          <a:pPr algn="ctr"/>
          <a:r>
            <a:rPr lang="pt-BR" sz="1100" b="1" baseline="0"/>
            <a:t>Gerente administrativo/PO</a:t>
          </a:r>
          <a:endParaRPr lang="pt-BR" sz="1100" b="1"/>
        </a:p>
      </xdr:txBody>
    </xdr:sp>
    <xdr:clientData/>
  </xdr:twoCellAnchor>
  <xdr:twoCellAnchor>
    <xdr:from>
      <xdr:col>6</xdr:col>
      <xdr:colOff>314325</xdr:colOff>
      <xdr:row>19</xdr:row>
      <xdr:rowOff>28575</xdr:rowOff>
    </xdr:from>
    <xdr:to>
      <xdr:col>9</xdr:col>
      <xdr:colOff>314325</xdr:colOff>
      <xdr:row>23</xdr:row>
      <xdr:rowOff>134471</xdr:rowOff>
    </xdr:to>
    <xdr:sp macro="" textlink="">
      <xdr:nvSpPr>
        <xdr:cNvPr id="6" name="Retângulo: Cantos Arredondados 5">
          <a:extLst>
            <a:ext uri="{FF2B5EF4-FFF2-40B4-BE49-F238E27FC236}">
              <a16:creationId xmlns:a16="http://schemas.microsoft.com/office/drawing/2014/main" id="{3960C92B-03B7-42E5-AAFA-ADD7A595A9CE}"/>
            </a:ext>
          </a:extLst>
        </xdr:cNvPr>
        <xdr:cNvSpPr/>
      </xdr:nvSpPr>
      <xdr:spPr>
        <a:xfrm>
          <a:off x="3971925" y="3105150"/>
          <a:ext cx="1828800" cy="753596"/>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pt-BR" sz="1100" b="1" baseline="0"/>
            <a:t>Anderson Yavi</a:t>
          </a:r>
        </a:p>
        <a:p>
          <a:pPr algn="ctr"/>
          <a:r>
            <a:rPr lang="pt-BR" sz="1100" b="1" baseline="0"/>
            <a:t>Desenvolvedor de Dashboards</a:t>
          </a:r>
          <a:endParaRPr lang="pt-BR" sz="1100" b="1"/>
        </a:p>
      </xdr:txBody>
    </xdr:sp>
    <xdr:clientData/>
  </xdr:twoCellAnchor>
  <xdr:twoCellAnchor>
    <xdr:from>
      <xdr:col>10</xdr:col>
      <xdr:colOff>123825</xdr:colOff>
      <xdr:row>19</xdr:row>
      <xdr:rowOff>19050</xdr:rowOff>
    </xdr:from>
    <xdr:to>
      <xdr:col>13</xdr:col>
      <xdr:colOff>123825</xdr:colOff>
      <xdr:row>22</xdr:row>
      <xdr:rowOff>38100</xdr:rowOff>
    </xdr:to>
    <xdr:sp macro="" textlink="">
      <xdr:nvSpPr>
        <xdr:cNvPr id="7" name="Retângulo: Cantos Arredondados 6">
          <a:extLst>
            <a:ext uri="{FF2B5EF4-FFF2-40B4-BE49-F238E27FC236}">
              <a16:creationId xmlns:a16="http://schemas.microsoft.com/office/drawing/2014/main" id="{34BEDBE5-23E3-4483-8656-DD6764D439EE}"/>
            </a:ext>
          </a:extLst>
        </xdr:cNvPr>
        <xdr:cNvSpPr/>
      </xdr:nvSpPr>
      <xdr:spPr>
        <a:xfrm>
          <a:off x="6219825" y="3095625"/>
          <a:ext cx="1828800" cy="50482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pt-BR" sz="1100" b="1" baseline="0"/>
            <a:t>Gabriel Gonçalves</a:t>
          </a:r>
        </a:p>
        <a:p>
          <a:pPr algn="ctr"/>
          <a:r>
            <a:rPr lang="pt-BR" sz="1100" b="1" baseline="0"/>
            <a:t>Engenheiro de dados ETL</a:t>
          </a:r>
          <a:endParaRPr lang="pt-BR" sz="1100" b="1"/>
        </a:p>
      </xdr:txBody>
    </xdr:sp>
    <xdr:clientData/>
  </xdr:twoCellAnchor>
  <xdr:twoCellAnchor>
    <xdr:from>
      <xdr:col>13</xdr:col>
      <xdr:colOff>476250</xdr:colOff>
      <xdr:row>19</xdr:row>
      <xdr:rowOff>19050</xdr:rowOff>
    </xdr:from>
    <xdr:to>
      <xdr:col>16</xdr:col>
      <xdr:colOff>476250</xdr:colOff>
      <xdr:row>22</xdr:row>
      <xdr:rowOff>38100</xdr:rowOff>
    </xdr:to>
    <xdr:sp macro="" textlink="">
      <xdr:nvSpPr>
        <xdr:cNvPr id="8" name="Retângulo: Cantos Arredondados 7">
          <a:extLst>
            <a:ext uri="{FF2B5EF4-FFF2-40B4-BE49-F238E27FC236}">
              <a16:creationId xmlns:a16="http://schemas.microsoft.com/office/drawing/2014/main" id="{D186B310-83B1-46BF-87CD-B5EB8097D135}"/>
            </a:ext>
          </a:extLst>
        </xdr:cNvPr>
        <xdr:cNvSpPr/>
      </xdr:nvSpPr>
      <xdr:spPr>
        <a:xfrm>
          <a:off x="8401050" y="3095625"/>
          <a:ext cx="1828800" cy="504825"/>
        </a:xfrm>
        <a:prstGeom prst="round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pt-BR" sz="1100" b="1" baseline="0"/>
            <a:t>Luiz Felipe</a:t>
          </a:r>
        </a:p>
        <a:p>
          <a:pPr algn="ctr"/>
          <a:r>
            <a:rPr lang="pt-BR" sz="1100" b="1" baseline="0"/>
            <a:t>Desenvolvedor Full-Stack</a:t>
          </a:r>
          <a:endParaRPr lang="pt-BR" sz="1100" b="1"/>
        </a:p>
      </xdr:txBody>
    </xdr:sp>
    <xdr:clientData/>
  </xdr:twoCellAnchor>
  <xdr:twoCellAnchor>
    <xdr:from>
      <xdr:col>10</xdr:col>
      <xdr:colOff>28575</xdr:colOff>
      <xdr:row>16</xdr:row>
      <xdr:rowOff>95250</xdr:rowOff>
    </xdr:from>
    <xdr:to>
      <xdr:col>10</xdr:col>
      <xdr:colOff>32657</xdr:colOff>
      <xdr:row>18</xdr:row>
      <xdr:rowOff>65314</xdr:rowOff>
    </xdr:to>
    <xdr:cxnSp macro="">
      <xdr:nvCxnSpPr>
        <xdr:cNvPr id="9" name="Conector reto 8">
          <a:extLst>
            <a:ext uri="{FF2B5EF4-FFF2-40B4-BE49-F238E27FC236}">
              <a16:creationId xmlns:a16="http://schemas.microsoft.com/office/drawing/2014/main" id="{13B49FFC-D432-42AB-A452-7D9C5532FCDC}"/>
            </a:ext>
          </a:extLst>
        </xdr:cNvPr>
        <xdr:cNvCxnSpPr>
          <a:stCxn id="3" idx="2"/>
        </xdr:cNvCxnSpPr>
      </xdr:nvCxnSpPr>
      <xdr:spPr>
        <a:xfrm>
          <a:off x="6124575" y="2686050"/>
          <a:ext cx="4082" cy="29391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296466</xdr:colOff>
      <xdr:row>18</xdr:row>
      <xdr:rowOff>47625</xdr:rowOff>
    </xdr:from>
    <xdr:to>
      <xdr:col>4</xdr:col>
      <xdr:colOff>297656</xdr:colOff>
      <xdr:row>19</xdr:row>
      <xdr:rowOff>28575</xdr:rowOff>
    </xdr:to>
    <xdr:cxnSp macro="">
      <xdr:nvCxnSpPr>
        <xdr:cNvPr id="10" name="Conector reto 9">
          <a:extLst>
            <a:ext uri="{FF2B5EF4-FFF2-40B4-BE49-F238E27FC236}">
              <a16:creationId xmlns:a16="http://schemas.microsoft.com/office/drawing/2014/main" id="{6B728A74-1857-49D1-AB67-4F77357EF5A6}"/>
            </a:ext>
          </a:extLst>
        </xdr:cNvPr>
        <xdr:cNvCxnSpPr>
          <a:stCxn id="5" idx="0"/>
        </xdr:cNvCxnSpPr>
      </xdr:nvCxnSpPr>
      <xdr:spPr>
        <a:xfrm flipV="1">
          <a:off x="2734866" y="2962275"/>
          <a:ext cx="1190" cy="14287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5955</xdr:colOff>
      <xdr:row>18</xdr:row>
      <xdr:rowOff>59532</xdr:rowOff>
    </xdr:from>
    <xdr:to>
      <xdr:col>8</xdr:col>
      <xdr:colOff>11767</xdr:colOff>
      <xdr:row>19</xdr:row>
      <xdr:rowOff>28575</xdr:rowOff>
    </xdr:to>
    <xdr:cxnSp macro="">
      <xdr:nvCxnSpPr>
        <xdr:cNvPr id="11" name="Conector reto 10">
          <a:extLst>
            <a:ext uri="{FF2B5EF4-FFF2-40B4-BE49-F238E27FC236}">
              <a16:creationId xmlns:a16="http://schemas.microsoft.com/office/drawing/2014/main" id="{005D2CB5-ACFE-4865-BE47-547CF57B09DD}"/>
            </a:ext>
          </a:extLst>
        </xdr:cNvPr>
        <xdr:cNvCxnSpPr>
          <a:stCxn id="6" idx="0"/>
        </xdr:cNvCxnSpPr>
      </xdr:nvCxnSpPr>
      <xdr:spPr>
        <a:xfrm flipH="1" flipV="1">
          <a:off x="4882755" y="2974182"/>
          <a:ext cx="5812" cy="13096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427892</xdr:colOff>
      <xdr:row>18</xdr:row>
      <xdr:rowOff>58615</xdr:rowOff>
    </xdr:from>
    <xdr:to>
      <xdr:col>11</xdr:col>
      <xdr:colOff>432288</xdr:colOff>
      <xdr:row>19</xdr:row>
      <xdr:rowOff>19050</xdr:rowOff>
    </xdr:to>
    <xdr:cxnSp macro="">
      <xdr:nvCxnSpPr>
        <xdr:cNvPr id="12" name="Conector reto 11">
          <a:extLst>
            <a:ext uri="{FF2B5EF4-FFF2-40B4-BE49-F238E27FC236}">
              <a16:creationId xmlns:a16="http://schemas.microsoft.com/office/drawing/2014/main" id="{F68212FA-A1A7-417B-B50E-D0A2BAC1573F}"/>
            </a:ext>
          </a:extLst>
        </xdr:cNvPr>
        <xdr:cNvCxnSpPr>
          <a:stCxn id="7" idx="0"/>
        </xdr:cNvCxnSpPr>
      </xdr:nvCxnSpPr>
      <xdr:spPr>
        <a:xfrm flipV="1">
          <a:off x="7133492" y="2973265"/>
          <a:ext cx="4396" cy="1223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170732</xdr:colOff>
      <xdr:row>18</xdr:row>
      <xdr:rowOff>57510</xdr:rowOff>
    </xdr:from>
    <xdr:to>
      <xdr:col>15</xdr:col>
      <xdr:colOff>172528</xdr:colOff>
      <xdr:row>19</xdr:row>
      <xdr:rowOff>19050</xdr:rowOff>
    </xdr:to>
    <xdr:cxnSp macro="">
      <xdr:nvCxnSpPr>
        <xdr:cNvPr id="13" name="Conector reto 12">
          <a:extLst>
            <a:ext uri="{FF2B5EF4-FFF2-40B4-BE49-F238E27FC236}">
              <a16:creationId xmlns:a16="http://schemas.microsoft.com/office/drawing/2014/main" id="{3DB71301-60BC-46A1-9AFD-53B4EF5D39B5}"/>
            </a:ext>
          </a:extLst>
        </xdr:cNvPr>
        <xdr:cNvCxnSpPr>
          <a:stCxn id="8" idx="0"/>
        </xdr:cNvCxnSpPr>
      </xdr:nvCxnSpPr>
      <xdr:spPr>
        <a:xfrm flipV="1">
          <a:off x="9314732" y="2972160"/>
          <a:ext cx="1796" cy="12346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285750</xdr:colOff>
      <xdr:row>18</xdr:row>
      <xdr:rowOff>36635</xdr:rowOff>
    </xdr:from>
    <xdr:to>
      <xdr:col>15</xdr:col>
      <xdr:colOff>190500</xdr:colOff>
      <xdr:row>18</xdr:row>
      <xdr:rowOff>51288</xdr:rowOff>
    </xdr:to>
    <xdr:cxnSp macro="">
      <xdr:nvCxnSpPr>
        <xdr:cNvPr id="14" name="Conector reto 13">
          <a:extLst>
            <a:ext uri="{FF2B5EF4-FFF2-40B4-BE49-F238E27FC236}">
              <a16:creationId xmlns:a16="http://schemas.microsoft.com/office/drawing/2014/main" id="{AB2DCD81-F015-4E7D-8D5F-8F13FDE78A8C}"/>
            </a:ext>
          </a:extLst>
        </xdr:cNvPr>
        <xdr:cNvCxnSpPr/>
      </xdr:nvCxnSpPr>
      <xdr:spPr>
        <a:xfrm>
          <a:off x="2724150" y="2951285"/>
          <a:ext cx="6610350" cy="1465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464820</xdr:colOff>
      <xdr:row>13</xdr:row>
      <xdr:rowOff>1409700</xdr:rowOff>
    </xdr:from>
    <xdr:to>
      <xdr:col>3</xdr:col>
      <xdr:colOff>335280</xdr:colOff>
      <xdr:row>13</xdr:row>
      <xdr:rowOff>1409700</xdr:rowOff>
    </xdr:to>
    <xdr:sp macro="" textlink="">
      <xdr:nvSpPr>
        <xdr:cNvPr id="2" name="Line 1">
          <a:extLst>
            <a:ext uri="{FF2B5EF4-FFF2-40B4-BE49-F238E27FC236}">
              <a16:creationId xmlns:a16="http://schemas.microsoft.com/office/drawing/2014/main" id="{FE02F8B6-AB64-4C95-99F2-5A8B9646BD51}"/>
            </a:ext>
          </a:extLst>
        </xdr:cNvPr>
        <xdr:cNvSpPr>
          <a:spLocks noChangeShapeType="1"/>
        </xdr:cNvSpPr>
      </xdr:nvSpPr>
      <xdr:spPr bwMode="auto">
        <a:xfrm>
          <a:off x="1226820" y="2266950"/>
          <a:ext cx="139446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464820</xdr:colOff>
      <xdr:row>13</xdr:row>
      <xdr:rowOff>7620</xdr:rowOff>
    </xdr:from>
    <xdr:to>
      <xdr:col>1</xdr:col>
      <xdr:colOff>297180</xdr:colOff>
      <xdr:row>13</xdr:row>
      <xdr:rowOff>1409700</xdr:rowOff>
    </xdr:to>
    <xdr:sp macro="" textlink="">
      <xdr:nvSpPr>
        <xdr:cNvPr id="3" name="Line 2">
          <a:extLst>
            <a:ext uri="{FF2B5EF4-FFF2-40B4-BE49-F238E27FC236}">
              <a16:creationId xmlns:a16="http://schemas.microsoft.com/office/drawing/2014/main" id="{E1191911-E21C-4693-A1F4-BDD6A0394CB4}"/>
            </a:ext>
          </a:extLst>
        </xdr:cNvPr>
        <xdr:cNvSpPr>
          <a:spLocks noChangeShapeType="1"/>
        </xdr:cNvSpPr>
      </xdr:nvSpPr>
      <xdr:spPr bwMode="auto">
        <a:xfrm flipV="1">
          <a:off x="1226820" y="2112645"/>
          <a:ext cx="0" cy="15430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BS_PROJETO_Gestao_cus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ividade%20rh.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arya/Downloads/241023-WBS-PROJETO-NI(Recuperado%20Automaticamen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_Rede-PER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e&#231;&#227;o%2005-1%20Planilha%20de%20gest&#227;o%20de%20risco_fei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de Gantt"/>
      <sheetName val="Planilha1"/>
      <sheetName val="PV_dependência"/>
      <sheetName val="Cronograma_de_Custos (2)"/>
    </sheetNames>
    <sheetDataSet>
      <sheetData sheetId="0">
        <row r="5">
          <cell r="G5">
            <v>45160</v>
          </cell>
        </row>
        <row r="6">
          <cell r="G6">
            <v>1</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de Gantt"/>
      <sheetName val="Planilha1"/>
      <sheetName val="PV_dependência"/>
      <sheetName val="Cronograma_de_Custos (2)"/>
    </sheetNames>
    <sheetDataSet>
      <sheetData sheetId="0">
        <row r="5">
          <cell r="G5">
            <v>45160</v>
          </cell>
        </row>
        <row r="6">
          <cell r="G6">
            <v>1</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harter"/>
      <sheetName val="WBS-MACRO-ATIVIDADE"/>
      <sheetName val="WBS_Detalhado (ordem etapas)"/>
      <sheetName val="WBS_Detalhado (ordem depend)"/>
      <sheetName val="Análise do Stakeholder"/>
      <sheetName val="x"/>
      <sheetName val="Gráfico de Gantt"/>
      <sheetName val="PV_dependência"/>
      <sheetName val="Cronograma_de_Custos (2)"/>
    </sheetNames>
    <sheetDataSet>
      <sheetData sheetId="0"/>
      <sheetData sheetId="1"/>
      <sheetData sheetId="2"/>
      <sheetData sheetId="3"/>
      <sheetData sheetId="4"/>
      <sheetData sheetId="5"/>
      <sheetData sheetId="6">
        <row r="5">
          <cell r="G5">
            <v>45160</v>
          </cell>
        </row>
        <row r="6">
          <cell r="G6">
            <v>1</v>
          </cell>
        </row>
      </sheetData>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 evolução(não)"/>
      <sheetName val="Sensibilidade ao Risco"/>
    </sheetNames>
    <sheetDataSet>
      <sheetData sheetId="0" refreshError="1"/>
      <sheetData sheetId="1">
        <row r="2">
          <cell r="E2">
            <v>2.1524999999999999</v>
          </cell>
          <cell r="F2" t="str">
            <v>Muito baixa - 0,05</v>
          </cell>
        </row>
        <row r="3">
          <cell r="E3">
            <v>2.2050000000000001</v>
          </cell>
          <cell r="F3" t="str">
            <v>Baixa - 0,10</v>
          </cell>
        </row>
        <row r="4">
          <cell r="E4">
            <v>2.3100000000000005</v>
          </cell>
          <cell r="F4" t="str">
            <v>Baixa - 0,10</v>
          </cell>
        </row>
        <row r="5">
          <cell r="E5">
            <v>2.52</v>
          </cell>
          <cell r="F5" t="str">
            <v>Moderada - 0,20</v>
          </cell>
        </row>
        <row r="6">
          <cell r="E6">
            <v>2.94</v>
          </cell>
          <cell r="F6" t="str">
            <v>Alta - 0,40</v>
          </cell>
        </row>
        <row r="8">
          <cell r="E8">
            <v>2.2549999999999999</v>
          </cell>
          <cell r="F8" t="str">
            <v>Baixa - 0,10</v>
          </cell>
        </row>
        <row r="9">
          <cell r="E9">
            <v>2.3100000000000005</v>
          </cell>
          <cell r="F9" t="str">
            <v>Baixa - 0,10</v>
          </cell>
        </row>
        <row r="10">
          <cell r="E10">
            <v>2.4200000000000004</v>
          </cell>
          <cell r="F10" t="str">
            <v>Moderada - 0,20</v>
          </cell>
        </row>
        <row r="11">
          <cell r="E11">
            <v>2.64</v>
          </cell>
          <cell r="F11" t="str">
            <v>Alta - 0,40</v>
          </cell>
        </row>
        <row r="12">
          <cell r="E12">
            <v>3.08</v>
          </cell>
          <cell r="F12" t="str">
            <v>Alta - 0,40</v>
          </cell>
        </row>
        <row r="14">
          <cell r="E14">
            <v>2.4599999999999995</v>
          </cell>
          <cell r="F14" t="str">
            <v>Moderada - 0,20</v>
          </cell>
        </row>
        <row r="15">
          <cell r="E15">
            <v>2.52</v>
          </cell>
          <cell r="F15" t="str">
            <v>Moderada - 0,20</v>
          </cell>
        </row>
        <row r="16">
          <cell r="E16">
            <v>2.64</v>
          </cell>
          <cell r="F16" t="str">
            <v>Alta - 0,40</v>
          </cell>
        </row>
        <row r="17">
          <cell r="E17">
            <v>2.88</v>
          </cell>
          <cell r="F17" t="str">
            <v>Alta - 0,40</v>
          </cell>
        </row>
        <row r="18">
          <cell r="E18">
            <v>3.36</v>
          </cell>
          <cell r="F18" t="str">
            <v>Muito Alta - 0,80</v>
          </cell>
        </row>
        <row r="20">
          <cell r="E20">
            <v>2.8699999999999997</v>
          </cell>
          <cell r="F20" t="str">
            <v>Moderada - 0,20</v>
          </cell>
        </row>
        <row r="21">
          <cell r="E21">
            <v>2.94</v>
          </cell>
          <cell r="F21" t="str">
            <v>Moderada - 0,20</v>
          </cell>
        </row>
        <row r="22">
          <cell r="E22">
            <v>3.08</v>
          </cell>
          <cell r="F22" t="str">
            <v>Alta - 0,40</v>
          </cell>
        </row>
        <row r="23">
          <cell r="E23">
            <v>3.36</v>
          </cell>
          <cell r="F23" t="str">
            <v>Muito Alta - 0,80</v>
          </cell>
        </row>
        <row r="24">
          <cell r="E24">
            <v>3.9199999999999995</v>
          </cell>
          <cell r="F24" t="str">
            <v>Muito Alta - 0,80</v>
          </cell>
        </row>
        <row r="26">
          <cell r="E26">
            <v>3.69</v>
          </cell>
          <cell r="F26" t="str">
            <v>Alta - 0,40</v>
          </cell>
        </row>
        <row r="27">
          <cell r="E27">
            <v>3.7800000000000002</v>
          </cell>
          <cell r="F27" t="str">
            <v>Alta - 0,40</v>
          </cell>
        </row>
        <row r="28">
          <cell r="E28">
            <v>3.9600000000000004</v>
          </cell>
          <cell r="F28" t="str">
            <v>Muito Alta - 0,80</v>
          </cell>
        </row>
        <row r="29">
          <cell r="E29">
            <v>4.32</v>
          </cell>
          <cell r="F29" t="str">
            <v>Muito Alta - 0,80</v>
          </cell>
        </row>
        <row r="30">
          <cell r="E30">
            <v>5.04</v>
          </cell>
          <cell r="F30" t="str">
            <v>Muito Alta - 0,80</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87"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17310E-1C5D-404C-A079-39C1277238E1}" name="Tabela2" displayName="Tabela2" ref="C10:F15" totalsRowShown="0">
  <autoFilter ref="C10:F15" xr:uid="{273449F3-B6A3-4F60-B3A5-A329DB2A3243}"/>
  <tableColumns count="4">
    <tableColumn id="1" xr3:uid="{F46E79EB-1F3E-4131-B239-434E3BF84016}" name="Nome" dataDxfId="10"/>
    <tableColumn id="2" xr3:uid="{3159E0AA-B74F-463A-BBF7-1F85E0FB617E}" name="Função no projeto"/>
    <tableColumn id="3" xr3:uid="{4C9C2E63-737B-4401-B18F-27397E0D7622}" name="ORIGEM - Organização / Externo"/>
    <tableColumn id="4" xr3:uid="{FB4543C6-2E63-4F14-B770-621E9DFB3789}" name="DEDICAÇÃO - Integral/ parcial/horas" dataDxfId="9"/>
  </tableColumns>
  <tableStyleInfo name="TableStyleMedium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escritoriodeprojetos.com.br/download/previsoes-do-orcamento/"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A43" zoomScale="80" zoomScaleNormal="80" workbookViewId="0">
      <selection activeCell="O170" sqref="O170"/>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78"/>
  <sheetViews>
    <sheetView showGridLines="0" zoomScale="80" zoomScaleNormal="80" workbookViewId="0">
      <selection activeCell="AA13" sqref="AA13"/>
    </sheetView>
  </sheetViews>
  <sheetFormatPr defaultRowHeight="12.75" x14ac:dyDescent="0.2"/>
  <cols>
    <col min="1" max="1" width="3" customWidth="1"/>
    <col min="2" max="2" width="14.7109375" customWidth="1"/>
  </cols>
  <sheetData>
    <row r="1" spans="1:24" ht="16.5" x14ac:dyDescent="0.25">
      <c r="B1" s="4"/>
      <c r="Q1" s="22"/>
    </row>
    <row r="2" spans="1:24" ht="16.5" x14ac:dyDescent="0.25">
      <c r="B2" s="4"/>
      <c r="Q2" s="22"/>
    </row>
    <row r="3" spans="1:24" ht="26.25" customHeight="1" x14ac:dyDescent="0.4">
      <c r="A3" s="605"/>
      <c r="B3" s="605"/>
      <c r="C3" s="25"/>
      <c r="D3" s="25"/>
      <c r="E3" s="25"/>
      <c r="F3" s="25"/>
      <c r="G3" s="25"/>
      <c r="H3" s="25"/>
      <c r="I3" s="25"/>
      <c r="J3" s="25"/>
      <c r="K3" s="25"/>
      <c r="L3" s="25"/>
      <c r="M3" s="25"/>
      <c r="N3" s="25"/>
      <c r="O3" s="25"/>
      <c r="P3" s="25"/>
      <c r="Q3" s="25"/>
      <c r="R3" s="25"/>
      <c r="S3" s="25"/>
      <c r="T3" s="25"/>
      <c r="U3" s="25"/>
    </row>
    <row r="4" spans="1:24" ht="26.25" customHeight="1" x14ac:dyDescent="0.4">
      <c r="A4" s="23"/>
      <c r="B4" s="23"/>
      <c r="C4" s="24"/>
      <c r="D4" s="24"/>
      <c r="E4" s="24"/>
      <c r="F4" s="24"/>
      <c r="G4" s="24"/>
      <c r="H4" s="24"/>
      <c r="I4" s="24"/>
      <c r="J4" s="24"/>
      <c r="K4" s="24"/>
      <c r="L4" s="24"/>
      <c r="M4" s="24"/>
      <c r="N4" s="24"/>
      <c r="O4" s="24"/>
      <c r="P4" s="24"/>
      <c r="Q4" s="24"/>
      <c r="R4" s="24"/>
      <c r="S4" s="24"/>
      <c r="T4" s="24"/>
      <c r="U4" s="24"/>
    </row>
    <row r="16" spans="1:24" ht="15" x14ac:dyDescent="0.2">
      <c r="B16" s="22"/>
      <c r="C16" s="22"/>
      <c r="D16" s="22"/>
      <c r="E16" s="22"/>
      <c r="F16" s="22"/>
      <c r="G16" s="22"/>
      <c r="H16" s="22"/>
      <c r="I16" s="22"/>
      <c r="J16" s="22"/>
      <c r="K16" s="22"/>
      <c r="L16" s="22"/>
      <c r="M16" s="22"/>
      <c r="N16" s="22"/>
      <c r="O16" s="22"/>
      <c r="P16" s="22"/>
      <c r="Q16" s="22"/>
      <c r="R16" s="22"/>
      <c r="S16" s="22"/>
      <c r="T16" s="22"/>
      <c r="U16" s="22"/>
      <c r="V16" s="22"/>
      <c r="W16" s="22"/>
      <c r="X16" s="22"/>
    </row>
    <row r="17" spans="2:25" ht="15" x14ac:dyDescent="0.2">
      <c r="B17" s="22"/>
      <c r="C17" s="22"/>
      <c r="D17" s="22"/>
      <c r="E17" s="22"/>
      <c r="F17" s="22"/>
      <c r="G17" s="22"/>
      <c r="H17" s="22"/>
      <c r="I17" s="22"/>
      <c r="J17" s="22"/>
      <c r="K17" s="22"/>
      <c r="L17" s="22"/>
      <c r="M17" s="22"/>
      <c r="N17" s="22"/>
      <c r="O17" s="22"/>
      <c r="P17" s="22"/>
      <c r="Q17" s="22"/>
      <c r="R17" s="22"/>
      <c r="S17" s="22"/>
      <c r="T17" s="22"/>
      <c r="U17" s="22"/>
      <c r="V17" s="22"/>
      <c r="W17" s="22"/>
      <c r="X17" s="22"/>
      <c r="Y17" s="26"/>
    </row>
    <row r="18" spans="2:25" ht="15" x14ac:dyDescent="0.2">
      <c r="B18" s="22"/>
      <c r="C18" s="22"/>
      <c r="D18" s="22"/>
      <c r="E18" s="22"/>
      <c r="F18" s="22"/>
      <c r="G18" s="22"/>
      <c r="H18" s="22"/>
      <c r="I18" s="22"/>
      <c r="J18" s="22"/>
      <c r="K18" s="22"/>
      <c r="L18" s="22"/>
      <c r="M18" s="22"/>
      <c r="N18" s="22"/>
      <c r="O18" s="22"/>
      <c r="P18" s="22"/>
      <c r="Q18" s="22"/>
      <c r="R18" s="22"/>
      <c r="S18" s="22"/>
      <c r="T18" s="22"/>
      <c r="U18" s="22"/>
      <c r="V18" s="22"/>
      <c r="W18" s="22"/>
      <c r="X18" s="22"/>
      <c r="Y18" s="26"/>
    </row>
    <row r="19" spans="2:25" ht="15" x14ac:dyDescent="0.2">
      <c r="B19" s="22"/>
      <c r="C19" s="22"/>
      <c r="D19" s="22"/>
      <c r="E19" s="22"/>
      <c r="F19" s="22"/>
      <c r="G19" s="22"/>
      <c r="H19" s="22"/>
      <c r="I19" s="22"/>
      <c r="J19" s="22"/>
      <c r="K19" s="22"/>
      <c r="L19" s="22"/>
      <c r="M19" s="22"/>
      <c r="N19" s="22"/>
      <c r="O19" s="22"/>
      <c r="P19" s="22"/>
      <c r="Q19" s="22"/>
      <c r="R19" s="22"/>
      <c r="S19" s="22"/>
      <c r="T19" s="22"/>
      <c r="U19" s="22"/>
      <c r="V19" s="22"/>
      <c r="W19" s="22"/>
      <c r="X19" s="22"/>
      <c r="Y19" s="26"/>
    </row>
    <row r="20" spans="2:25" ht="15" x14ac:dyDescent="0.2">
      <c r="B20" s="22"/>
      <c r="C20" s="22"/>
      <c r="D20" s="22"/>
      <c r="E20" s="22"/>
      <c r="F20" s="22"/>
      <c r="G20" s="22"/>
      <c r="H20" s="22"/>
      <c r="I20" s="22"/>
      <c r="J20" s="22"/>
      <c r="K20" s="22"/>
      <c r="L20" s="22"/>
      <c r="M20" s="22"/>
      <c r="N20" s="22"/>
      <c r="O20" s="22"/>
      <c r="P20" s="22"/>
      <c r="Q20" s="22"/>
      <c r="R20" s="22"/>
      <c r="S20" s="22"/>
      <c r="T20" s="22"/>
      <c r="U20" s="22"/>
      <c r="V20" s="22"/>
      <c r="W20" s="22"/>
      <c r="X20" s="22"/>
      <c r="Y20" s="26"/>
    </row>
    <row r="21" spans="2:25" ht="15" x14ac:dyDescent="0.2">
      <c r="B21" s="22"/>
      <c r="C21" s="22"/>
      <c r="D21" s="22"/>
      <c r="E21" s="22"/>
      <c r="F21" s="22"/>
      <c r="G21" s="22"/>
      <c r="H21" s="22"/>
      <c r="I21" s="22"/>
      <c r="J21" s="22"/>
      <c r="K21" s="22"/>
      <c r="L21" s="22"/>
      <c r="M21" s="22"/>
      <c r="N21" s="22"/>
      <c r="O21" s="22"/>
      <c r="P21" s="22"/>
      <c r="Q21" s="22"/>
      <c r="R21" s="22"/>
      <c r="S21" s="22"/>
      <c r="T21" s="22"/>
      <c r="U21" s="22"/>
      <c r="V21" s="22"/>
      <c r="W21" s="22"/>
      <c r="X21" s="22"/>
      <c r="Y21" s="26"/>
    </row>
    <row r="22" spans="2:25" ht="15" x14ac:dyDescent="0.2">
      <c r="B22" s="22"/>
      <c r="C22" s="22"/>
      <c r="D22" s="22"/>
      <c r="E22" s="22"/>
      <c r="F22" s="22"/>
      <c r="G22" s="22"/>
      <c r="H22" s="22"/>
      <c r="I22" s="22"/>
      <c r="J22" s="22"/>
      <c r="K22" s="22"/>
      <c r="L22" s="22"/>
      <c r="M22" s="22"/>
      <c r="N22" s="22"/>
      <c r="O22" s="22"/>
      <c r="P22" s="22"/>
      <c r="Q22" s="22"/>
      <c r="R22" s="22"/>
      <c r="S22" s="22"/>
      <c r="T22" s="22"/>
      <c r="U22" s="22"/>
      <c r="V22" s="22"/>
      <c r="W22" s="22"/>
      <c r="X22" s="22"/>
      <c r="Y22" s="26"/>
    </row>
    <row r="23" spans="2:25" ht="15" x14ac:dyDescent="0.2">
      <c r="B23" s="22"/>
      <c r="C23" s="22"/>
      <c r="D23" s="22"/>
      <c r="E23" s="22"/>
      <c r="F23" s="22"/>
      <c r="G23" s="22"/>
      <c r="H23" s="22"/>
      <c r="I23" s="22"/>
      <c r="J23" s="22"/>
      <c r="K23" s="22"/>
      <c r="L23" s="22"/>
      <c r="M23" s="22"/>
      <c r="N23" s="22"/>
      <c r="O23" s="22"/>
      <c r="P23" s="22"/>
      <c r="Q23" s="22"/>
      <c r="R23" s="22"/>
      <c r="S23" s="22"/>
      <c r="T23" s="22"/>
      <c r="U23" s="22"/>
      <c r="V23" s="22"/>
      <c r="W23" s="22"/>
      <c r="X23" s="22"/>
      <c r="Y23" s="26"/>
    </row>
    <row r="24" spans="2:25" ht="15" x14ac:dyDescent="0.2">
      <c r="B24" s="22"/>
      <c r="C24" s="22"/>
      <c r="D24" s="22"/>
      <c r="E24" s="22"/>
      <c r="F24" s="22"/>
      <c r="G24" s="22"/>
      <c r="H24" s="22"/>
      <c r="I24" s="22"/>
      <c r="J24" s="22"/>
      <c r="K24" s="22"/>
      <c r="L24" s="22"/>
      <c r="M24" s="22"/>
      <c r="N24" s="22"/>
      <c r="O24" s="22"/>
      <c r="P24" s="22"/>
      <c r="Q24" s="22"/>
      <c r="R24" s="22"/>
      <c r="S24" s="22"/>
      <c r="T24" s="22"/>
      <c r="U24" s="22"/>
      <c r="V24" s="22"/>
      <c r="W24" s="22"/>
      <c r="X24" s="22"/>
      <c r="Y24" s="26"/>
    </row>
    <row r="25" spans="2:25" ht="15" x14ac:dyDescent="0.2">
      <c r="B25" s="22"/>
      <c r="C25" s="22"/>
      <c r="D25" s="22"/>
      <c r="E25" s="22"/>
      <c r="F25" s="22"/>
      <c r="G25" s="22"/>
      <c r="H25" s="22"/>
      <c r="I25" s="22"/>
      <c r="J25" s="22"/>
      <c r="K25" s="22"/>
      <c r="L25" s="22"/>
      <c r="M25" s="22"/>
      <c r="N25" s="22"/>
      <c r="O25" s="22"/>
      <c r="P25" s="22"/>
      <c r="Q25" s="22"/>
      <c r="R25" s="22"/>
      <c r="S25" s="22"/>
      <c r="T25" s="22"/>
      <c r="U25" s="22"/>
      <c r="V25" s="22"/>
      <c r="W25" s="22"/>
      <c r="X25" s="22"/>
      <c r="Y25" s="26"/>
    </row>
    <row r="26" spans="2:25" ht="15" x14ac:dyDescent="0.2">
      <c r="B26" s="22"/>
      <c r="C26" s="22"/>
      <c r="D26" s="22"/>
      <c r="E26" s="22"/>
      <c r="F26" s="22"/>
      <c r="G26" s="22"/>
      <c r="H26" s="22"/>
      <c r="I26" s="22"/>
      <c r="J26" s="22"/>
      <c r="K26" s="22"/>
      <c r="L26" s="22"/>
      <c r="M26" s="22"/>
      <c r="N26" s="22"/>
      <c r="O26" s="22"/>
      <c r="P26" s="22"/>
      <c r="Q26" s="22"/>
      <c r="R26" s="22"/>
      <c r="S26" s="22"/>
      <c r="T26" s="22"/>
      <c r="U26" s="22"/>
      <c r="V26" s="22"/>
      <c r="W26" s="22"/>
      <c r="X26" s="22"/>
      <c r="Y26" s="26"/>
    </row>
    <row r="27" spans="2:25" ht="15" x14ac:dyDescent="0.2">
      <c r="B27" s="22"/>
      <c r="C27" s="22"/>
      <c r="D27" s="22"/>
      <c r="E27" s="22"/>
      <c r="F27" s="22"/>
      <c r="G27" s="22"/>
      <c r="H27" s="22"/>
      <c r="I27" s="22"/>
      <c r="J27" s="22"/>
      <c r="K27" s="22"/>
      <c r="L27" s="22"/>
      <c r="M27" s="22"/>
      <c r="N27" s="22"/>
      <c r="O27" s="22"/>
      <c r="P27" s="22"/>
      <c r="Q27" s="22"/>
      <c r="R27" s="22"/>
      <c r="S27" s="22"/>
      <c r="T27" s="22"/>
      <c r="U27" s="22"/>
      <c r="V27" s="22"/>
      <c r="W27" s="22"/>
      <c r="X27" s="22"/>
      <c r="Y27" s="26"/>
    </row>
    <row r="28" spans="2:25" ht="15" x14ac:dyDescent="0.2">
      <c r="B28" s="22"/>
      <c r="C28" s="22"/>
      <c r="D28" s="22"/>
      <c r="E28" s="22"/>
      <c r="F28" s="22"/>
      <c r="G28" s="22"/>
      <c r="H28" s="22"/>
      <c r="I28" s="22"/>
      <c r="J28" s="22"/>
      <c r="K28" s="22"/>
      <c r="L28" s="22"/>
      <c r="M28" s="22"/>
      <c r="N28" s="22"/>
      <c r="O28" s="22"/>
      <c r="P28" s="22"/>
      <c r="Q28" s="22"/>
      <c r="R28" s="22"/>
      <c r="S28" s="22"/>
      <c r="T28" s="22"/>
      <c r="U28" s="22"/>
      <c r="V28" s="22"/>
      <c r="W28" s="22"/>
      <c r="X28" s="22"/>
      <c r="Y28" s="26"/>
    </row>
    <row r="29" spans="2:25" ht="15" x14ac:dyDescent="0.2">
      <c r="B29" s="22"/>
      <c r="C29" s="22"/>
      <c r="D29" s="22"/>
      <c r="E29" s="22"/>
      <c r="F29" s="22"/>
      <c r="G29" s="22"/>
      <c r="H29" s="22"/>
      <c r="I29" s="22"/>
      <c r="J29" s="22"/>
      <c r="K29" s="22"/>
      <c r="L29" s="22"/>
      <c r="M29" s="22"/>
      <c r="N29" s="22"/>
      <c r="O29" s="22"/>
      <c r="P29" s="22"/>
      <c r="Q29" s="22"/>
      <c r="R29" s="22"/>
      <c r="S29" s="22"/>
      <c r="T29" s="22"/>
      <c r="U29" s="22"/>
      <c r="V29" s="22"/>
      <c r="W29" s="22"/>
      <c r="X29" s="22"/>
      <c r="Y29" s="26"/>
    </row>
    <row r="62" spans="5:5" x14ac:dyDescent="0.2">
      <c r="E62" s="230"/>
    </row>
    <row r="64" spans="5:5" s="230" customFormat="1" x14ac:dyDescent="0.2"/>
    <row r="65" spans="2:4" s="230" customFormat="1" x14ac:dyDescent="0.2"/>
    <row r="66" spans="2:4" s="230" customFormat="1" x14ac:dyDescent="0.2"/>
    <row r="67" spans="2:4" s="230" customFormat="1" x14ac:dyDescent="0.2"/>
    <row r="68" spans="2:4" s="230" customFormat="1" x14ac:dyDescent="0.2"/>
    <row r="69" spans="2:4" s="230" customFormat="1" x14ac:dyDescent="0.2"/>
    <row r="70" spans="2:4" s="230" customFormat="1" x14ac:dyDescent="0.2"/>
    <row r="71" spans="2:4" s="230" customFormat="1" x14ac:dyDescent="0.2"/>
    <row r="72" spans="2:4" s="230" customFormat="1" x14ac:dyDescent="0.2"/>
    <row r="73" spans="2:4" s="230" customFormat="1" x14ac:dyDescent="0.2"/>
    <row r="74" spans="2:4" s="230" customFormat="1" x14ac:dyDescent="0.2">
      <c r="B74" s="231"/>
      <c r="C74" s="231"/>
      <c r="D74" s="231"/>
    </row>
    <row r="75" spans="2:4" s="230" customFormat="1" x14ac:dyDescent="0.2">
      <c r="B75" s="231"/>
      <c r="C75" s="231"/>
      <c r="D75" s="231"/>
    </row>
    <row r="76" spans="2:4" s="230" customFormat="1" x14ac:dyDescent="0.2"/>
    <row r="77" spans="2:4" s="230" customFormat="1" x14ac:dyDescent="0.2"/>
    <row r="78" spans="2:4" x14ac:dyDescent="0.2">
      <c r="B78" s="2"/>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2:R112"/>
  <sheetViews>
    <sheetView showGridLines="0" zoomScale="70" zoomScaleNormal="70" workbookViewId="0">
      <pane ySplit="9" topLeftCell="A85" activePane="bottomLeft" state="frozenSplit"/>
      <selection pane="bottomLeft" activeCell="K89" sqref="K89:K90"/>
    </sheetView>
  </sheetViews>
  <sheetFormatPr defaultRowHeight="12.75" x14ac:dyDescent="0.2"/>
  <cols>
    <col min="1" max="1" width="3.42578125" customWidth="1"/>
    <col min="2" max="2" width="8.7109375" style="225" customWidth="1"/>
    <col min="3" max="3" width="60.5703125" style="165" customWidth="1"/>
    <col min="4" max="4" width="17" style="225" customWidth="1"/>
    <col min="5" max="7" width="15.42578125" style="1" customWidth="1"/>
    <col min="8" max="8" width="14.42578125" style="1" customWidth="1"/>
    <col min="9" max="9" width="21.7109375" style="105" customWidth="1"/>
    <col min="10" max="10" width="29.85546875" style="1" customWidth="1"/>
    <col min="11" max="11" width="22.7109375" style="1" bestFit="1" customWidth="1"/>
    <col min="12" max="12" width="12.5703125" customWidth="1"/>
    <col min="15" max="15" width="8.7109375" customWidth="1"/>
    <col min="16" max="16" width="46.140625" customWidth="1"/>
    <col min="17" max="17" width="56.42578125" customWidth="1"/>
    <col min="18" max="18" width="16" customWidth="1"/>
  </cols>
  <sheetData>
    <row r="2" spans="2:18" x14ac:dyDescent="0.2">
      <c r="C2" s="181"/>
    </row>
    <row r="3" spans="2:18" ht="18" x14ac:dyDescent="0.2">
      <c r="C3" s="183"/>
    </row>
    <row r="7" spans="2:18" ht="16.5" x14ac:dyDescent="0.2">
      <c r="B7" s="226" t="s">
        <v>49</v>
      </c>
    </row>
    <row r="8" spans="2:18" ht="13.5" thickBot="1" x14ac:dyDescent="0.25"/>
    <row r="9" spans="2:18" s="14" customFormat="1" ht="32.25" thickBot="1" x14ac:dyDescent="0.25">
      <c r="B9" s="134" t="s">
        <v>0</v>
      </c>
      <c r="C9" s="135" t="s">
        <v>51</v>
      </c>
      <c r="D9" s="136" t="s">
        <v>2</v>
      </c>
      <c r="E9" s="137" t="s">
        <v>176</v>
      </c>
      <c r="F9" s="137" t="s">
        <v>177</v>
      </c>
      <c r="G9" s="137" t="s">
        <v>303</v>
      </c>
      <c r="H9" s="138" t="s">
        <v>3</v>
      </c>
      <c r="I9" s="138" t="s">
        <v>4</v>
      </c>
      <c r="J9" s="138" t="s">
        <v>5</v>
      </c>
      <c r="K9" s="138" t="s">
        <v>31</v>
      </c>
      <c r="L9" s="139" t="s">
        <v>6</v>
      </c>
      <c r="O9" s="612"/>
      <c r="P9" s="612"/>
      <c r="Q9" s="612"/>
      <c r="R9" s="612"/>
    </row>
    <row r="10" spans="2:18" s="8" customFormat="1" ht="31.9" customHeight="1" thickBot="1" x14ac:dyDescent="0.25">
      <c r="B10" s="134">
        <v>1</v>
      </c>
      <c r="C10" s="140" t="s">
        <v>55</v>
      </c>
      <c r="D10" s="261">
        <v>1</v>
      </c>
      <c r="E10" s="262">
        <v>45880</v>
      </c>
      <c r="F10" s="263">
        <v>45887</v>
      </c>
      <c r="G10" s="137">
        <v>8</v>
      </c>
      <c r="H10" s="138" t="s">
        <v>47</v>
      </c>
      <c r="I10" s="268" t="s">
        <v>56</v>
      </c>
      <c r="J10" s="269" t="s">
        <v>248</v>
      </c>
      <c r="K10" s="141"/>
      <c r="L10" s="142"/>
      <c r="O10" s="234"/>
      <c r="P10" s="234"/>
      <c r="Q10" s="234"/>
      <c r="R10" s="234"/>
    </row>
    <row r="11" spans="2:18" s="8" customFormat="1" ht="22.5" customHeight="1" x14ac:dyDescent="0.2">
      <c r="B11" s="170" t="s">
        <v>304</v>
      </c>
      <c r="C11" s="166" t="s">
        <v>178</v>
      </c>
      <c r="D11" s="122">
        <v>1</v>
      </c>
      <c r="E11" s="238">
        <v>45880</v>
      </c>
      <c r="F11" s="238">
        <v>45884</v>
      </c>
      <c r="G11" s="113">
        <v>5</v>
      </c>
      <c r="H11" s="123" t="s">
        <v>47</v>
      </c>
      <c r="I11" s="120" t="s">
        <v>56</v>
      </c>
      <c r="J11" s="124" t="s">
        <v>248</v>
      </c>
      <c r="K11" s="125">
        <v>5000</v>
      </c>
      <c r="L11" s="126"/>
      <c r="O11" s="233"/>
      <c r="P11" s="233"/>
      <c r="Q11" s="233"/>
      <c r="R11" s="233"/>
    </row>
    <row r="12" spans="2:18" s="8" customFormat="1" ht="27.75" customHeight="1" x14ac:dyDescent="0.2">
      <c r="B12" s="171" t="s">
        <v>308</v>
      </c>
      <c r="C12" s="131" t="s">
        <v>179</v>
      </c>
      <c r="D12" s="109" t="s">
        <v>304</v>
      </c>
      <c r="E12" s="238">
        <v>45884</v>
      </c>
      <c r="F12" s="239">
        <v>45885</v>
      </c>
      <c r="G12" s="112">
        <v>1</v>
      </c>
      <c r="H12" s="123" t="s">
        <v>47</v>
      </c>
      <c r="I12" s="106" t="s">
        <v>56</v>
      </c>
      <c r="J12" s="124" t="s">
        <v>248</v>
      </c>
      <c r="K12" s="111">
        <v>1000</v>
      </c>
      <c r="L12" s="127"/>
      <c r="O12" s="233"/>
      <c r="P12" s="233"/>
      <c r="Q12" s="233"/>
      <c r="R12" s="233"/>
    </row>
    <row r="13" spans="2:18" s="8" customFormat="1" ht="27.75" customHeight="1" x14ac:dyDescent="0.2">
      <c r="B13" s="172" t="s">
        <v>306</v>
      </c>
      <c r="C13" s="167" t="s">
        <v>180</v>
      </c>
      <c r="D13" s="109" t="s">
        <v>304</v>
      </c>
      <c r="E13" s="238">
        <v>45884</v>
      </c>
      <c r="F13" s="239">
        <v>45887</v>
      </c>
      <c r="G13" s="117">
        <v>3</v>
      </c>
      <c r="H13" s="123" t="s">
        <v>47</v>
      </c>
      <c r="I13" s="106" t="s">
        <v>56</v>
      </c>
      <c r="J13" s="124" t="s">
        <v>248</v>
      </c>
      <c r="K13" s="111">
        <v>3000</v>
      </c>
      <c r="L13" s="154"/>
      <c r="O13" s="233"/>
      <c r="P13" s="233"/>
      <c r="Q13" s="233"/>
      <c r="R13" s="233"/>
    </row>
    <row r="14" spans="2:18" s="8" customFormat="1" ht="28.5" customHeight="1" thickBot="1" x14ac:dyDescent="0.25">
      <c r="B14" s="172" t="s">
        <v>307</v>
      </c>
      <c r="C14" s="167" t="s">
        <v>181</v>
      </c>
      <c r="D14" s="109" t="s">
        <v>304</v>
      </c>
      <c r="E14" s="238">
        <v>45884</v>
      </c>
      <c r="F14" s="239">
        <v>45885</v>
      </c>
      <c r="G14" s="117">
        <v>1</v>
      </c>
      <c r="H14" s="123" t="s">
        <v>47</v>
      </c>
      <c r="I14" s="107" t="s">
        <v>56</v>
      </c>
      <c r="J14" s="124" t="s">
        <v>248</v>
      </c>
      <c r="K14" s="111">
        <v>1000</v>
      </c>
      <c r="L14" s="154"/>
      <c r="O14" s="233"/>
      <c r="P14" s="233"/>
      <c r="Q14" s="233"/>
      <c r="R14" s="233"/>
    </row>
    <row r="15" spans="2:18" s="8" customFormat="1" ht="28.5" customHeight="1" thickBot="1" x14ac:dyDescent="0.25">
      <c r="B15" s="147">
        <v>2</v>
      </c>
      <c r="C15" s="148" t="s">
        <v>57</v>
      </c>
      <c r="D15" s="149" t="s">
        <v>306</v>
      </c>
      <c r="E15" s="258">
        <v>45887</v>
      </c>
      <c r="F15" s="258">
        <v>45893</v>
      </c>
      <c r="G15" s="156">
        <v>10</v>
      </c>
      <c r="H15" s="157" t="s">
        <v>172</v>
      </c>
      <c r="I15" s="268" t="s">
        <v>56</v>
      </c>
      <c r="J15" s="269" t="s">
        <v>248</v>
      </c>
      <c r="K15" s="175">
        <f>SUM(K11:K14)</f>
        <v>10000</v>
      </c>
      <c r="L15" s="158"/>
      <c r="O15" s="233"/>
      <c r="P15" s="233"/>
      <c r="Q15" s="233"/>
      <c r="R15" s="233"/>
    </row>
    <row r="16" spans="2:18" s="2" customFormat="1" ht="37.5" customHeight="1" x14ac:dyDescent="0.2">
      <c r="B16" s="170" t="s">
        <v>309</v>
      </c>
      <c r="C16" s="166" t="s">
        <v>194</v>
      </c>
      <c r="D16" s="254">
        <v>2</v>
      </c>
      <c r="E16" s="239">
        <v>45887</v>
      </c>
      <c r="F16" s="238">
        <v>45888</v>
      </c>
      <c r="G16" s="145">
        <v>1</v>
      </c>
      <c r="H16" s="124" t="s">
        <v>172</v>
      </c>
      <c r="I16" s="155" t="s">
        <v>56</v>
      </c>
      <c r="J16" s="124" t="s">
        <v>248</v>
      </c>
      <c r="K16" s="125">
        <v>2000</v>
      </c>
      <c r="L16" s="146"/>
      <c r="M16" s="230"/>
      <c r="O16" s="233"/>
      <c r="P16" s="233"/>
      <c r="Q16" s="233"/>
      <c r="R16" s="233"/>
    </row>
    <row r="17" spans="1:18" s="2" customFormat="1" ht="33" customHeight="1" x14ac:dyDescent="0.2">
      <c r="B17" s="170" t="s">
        <v>305</v>
      </c>
      <c r="C17" s="217" t="s">
        <v>195</v>
      </c>
      <c r="D17" s="255" t="s">
        <v>309</v>
      </c>
      <c r="E17" s="240">
        <v>45889</v>
      </c>
      <c r="F17" s="240">
        <v>45891</v>
      </c>
      <c r="G17" s="110">
        <v>2</v>
      </c>
      <c r="H17" s="124" t="s">
        <v>172</v>
      </c>
      <c r="I17" s="107" t="s">
        <v>56</v>
      </c>
      <c r="J17" s="124" t="s">
        <v>248</v>
      </c>
      <c r="K17" s="125">
        <v>2000</v>
      </c>
      <c r="L17" s="128"/>
      <c r="O17" s="233"/>
      <c r="P17" s="233"/>
      <c r="Q17" s="233"/>
      <c r="R17" s="233"/>
    </row>
    <row r="18" spans="1:18" s="2" customFormat="1" ht="28.5" customHeight="1" x14ac:dyDescent="0.2">
      <c r="B18" s="170" t="s">
        <v>310</v>
      </c>
      <c r="C18" s="217" t="s">
        <v>196</v>
      </c>
      <c r="D18" s="255" t="s">
        <v>309</v>
      </c>
      <c r="E18" s="240">
        <v>45889</v>
      </c>
      <c r="F18" s="240">
        <v>45891</v>
      </c>
      <c r="G18" s="110">
        <v>2</v>
      </c>
      <c r="H18" s="124" t="s">
        <v>172</v>
      </c>
      <c r="I18" s="107" t="s">
        <v>56</v>
      </c>
      <c r="J18" s="124" t="s">
        <v>248</v>
      </c>
      <c r="K18" s="125">
        <v>1000</v>
      </c>
      <c r="L18" s="128"/>
      <c r="O18" s="233"/>
      <c r="P18" s="233"/>
      <c r="Q18" s="233"/>
      <c r="R18" s="233"/>
    </row>
    <row r="19" spans="1:18" s="2" customFormat="1" ht="39" customHeight="1" x14ac:dyDescent="0.2">
      <c r="B19" s="170" t="s">
        <v>311</v>
      </c>
      <c r="C19" s="217" t="s">
        <v>197</v>
      </c>
      <c r="D19" s="256" t="s">
        <v>309</v>
      </c>
      <c r="E19" s="240">
        <v>45889</v>
      </c>
      <c r="F19" s="240">
        <v>45891</v>
      </c>
      <c r="G19" s="110">
        <v>2</v>
      </c>
      <c r="H19" s="124" t="s">
        <v>172</v>
      </c>
      <c r="I19" s="107" t="s">
        <v>56</v>
      </c>
      <c r="J19" s="124" t="s">
        <v>248</v>
      </c>
      <c r="K19" s="125">
        <v>1000</v>
      </c>
      <c r="L19" s="128"/>
      <c r="O19" s="233"/>
      <c r="P19" s="233"/>
      <c r="Q19" s="233"/>
      <c r="R19" s="233"/>
    </row>
    <row r="20" spans="1:18" s="2" customFormat="1" ht="28.5" customHeight="1" x14ac:dyDescent="0.2">
      <c r="B20" s="170" t="s">
        <v>312</v>
      </c>
      <c r="C20" s="217" t="s">
        <v>198</v>
      </c>
      <c r="D20" s="256" t="s">
        <v>375</v>
      </c>
      <c r="E20" s="240">
        <v>45892</v>
      </c>
      <c r="F20" s="240">
        <v>45893</v>
      </c>
      <c r="G20" s="110">
        <v>1</v>
      </c>
      <c r="H20" s="108" t="s">
        <v>172</v>
      </c>
      <c r="I20" s="107" t="s">
        <v>56</v>
      </c>
      <c r="J20" s="124" t="s">
        <v>248</v>
      </c>
      <c r="K20" s="125">
        <v>1000</v>
      </c>
      <c r="L20" s="128"/>
      <c r="O20" s="233"/>
      <c r="P20" s="233"/>
      <c r="Q20" s="233"/>
      <c r="R20" s="233"/>
    </row>
    <row r="21" spans="1:18" s="2" customFormat="1" ht="28.5" customHeight="1" x14ac:dyDescent="0.2">
      <c r="B21" s="170" t="s">
        <v>313</v>
      </c>
      <c r="C21" s="218" t="s">
        <v>199</v>
      </c>
      <c r="D21" s="256" t="s">
        <v>375</v>
      </c>
      <c r="E21" s="240">
        <v>45892</v>
      </c>
      <c r="F21" s="240">
        <v>45893</v>
      </c>
      <c r="G21" s="110">
        <v>1</v>
      </c>
      <c r="H21" s="108" t="s">
        <v>172</v>
      </c>
      <c r="I21" s="107" t="s">
        <v>56</v>
      </c>
      <c r="J21" s="124" t="s">
        <v>248</v>
      </c>
      <c r="K21" s="125">
        <v>2000</v>
      </c>
      <c r="L21" s="144"/>
      <c r="O21" s="233"/>
      <c r="P21" s="233"/>
      <c r="Q21" s="233"/>
      <c r="R21" s="233"/>
    </row>
    <row r="22" spans="1:18" s="2" customFormat="1" ht="28.5" customHeight="1" thickBot="1" x14ac:dyDescent="0.25">
      <c r="B22" s="170" t="s">
        <v>314</v>
      </c>
      <c r="C22" s="218" t="s">
        <v>379</v>
      </c>
      <c r="D22" s="257" t="s">
        <v>375</v>
      </c>
      <c r="E22" s="240">
        <v>45892</v>
      </c>
      <c r="F22" s="240">
        <v>45893</v>
      </c>
      <c r="G22" s="110">
        <v>1</v>
      </c>
      <c r="H22" s="108" t="s">
        <v>172</v>
      </c>
      <c r="I22" s="107" t="s">
        <v>56</v>
      </c>
      <c r="J22" s="124" t="s">
        <v>248</v>
      </c>
      <c r="K22" s="125">
        <v>3000</v>
      </c>
      <c r="L22" s="128"/>
      <c r="O22" s="233"/>
      <c r="P22" s="233"/>
      <c r="Q22" s="233"/>
      <c r="R22" s="233"/>
    </row>
    <row r="23" spans="1:18" s="8" customFormat="1" ht="24" customHeight="1" thickBot="1" x14ac:dyDescent="0.3">
      <c r="B23" s="147">
        <v>3</v>
      </c>
      <c r="C23" s="148" t="s">
        <v>64</v>
      </c>
      <c r="D23" s="149" t="s">
        <v>460</v>
      </c>
      <c r="E23" s="264">
        <v>45894</v>
      </c>
      <c r="F23" s="264">
        <v>45902</v>
      </c>
      <c r="G23" s="150">
        <v>19</v>
      </c>
      <c r="H23" s="151" t="s">
        <v>376</v>
      </c>
      <c r="I23" s="151" t="s">
        <v>67</v>
      </c>
      <c r="J23" s="151" t="s">
        <v>247</v>
      </c>
      <c r="K23" s="176">
        <f>SUM(K16:K22)</f>
        <v>12000</v>
      </c>
      <c r="L23" s="152"/>
      <c r="O23" s="235"/>
      <c r="P23" s="611"/>
      <c r="Q23" s="611"/>
      <c r="R23" s="236"/>
    </row>
    <row r="24" spans="1:18" s="2" customFormat="1" ht="28.5" customHeight="1" x14ac:dyDescent="0.2">
      <c r="A24" s="2" t="s">
        <v>45</v>
      </c>
      <c r="B24" s="170" t="s">
        <v>315</v>
      </c>
      <c r="C24" s="219" t="s">
        <v>201</v>
      </c>
      <c r="D24" s="122">
        <v>3</v>
      </c>
      <c r="E24" s="240">
        <v>45894</v>
      </c>
      <c r="F24" s="240">
        <v>45897</v>
      </c>
      <c r="G24" s="145">
        <f>F24-E24</f>
        <v>3</v>
      </c>
      <c r="H24" s="124" t="s">
        <v>376</v>
      </c>
      <c r="I24" s="124" t="s">
        <v>67</v>
      </c>
      <c r="J24" s="124" t="s">
        <v>247</v>
      </c>
      <c r="K24" s="125">
        <v>2000</v>
      </c>
      <c r="L24" s="146"/>
      <c r="O24" s="237"/>
      <c r="P24" s="237"/>
      <c r="Q24" s="237"/>
      <c r="R24" s="237"/>
    </row>
    <row r="25" spans="1:18" s="2" customFormat="1" ht="28.5" customHeight="1" x14ac:dyDescent="0.2">
      <c r="B25" s="170" t="s">
        <v>316</v>
      </c>
      <c r="C25" s="217" t="s">
        <v>200</v>
      </c>
      <c r="D25" s="255" t="s">
        <v>315</v>
      </c>
      <c r="E25" s="240">
        <v>45894</v>
      </c>
      <c r="F25" s="240">
        <v>45894</v>
      </c>
      <c r="G25" s="145">
        <v>1</v>
      </c>
      <c r="H25" s="124" t="s">
        <v>376</v>
      </c>
      <c r="I25" s="124" t="s">
        <v>67</v>
      </c>
      <c r="J25" s="124" t="s">
        <v>247</v>
      </c>
      <c r="K25" s="125">
        <v>1000</v>
      </c>
      <c r="L25" s="128"/>
    </row>
    <row r="26" spans="1:18" s="2" customFormat="1" ht="28.5" customHeight="1" x14ac:dyDescent="0.2">
      <c r="B26" s="171" t="s">
        <v>317</v>
      </c>
      <c r="C26" s="217" t="s">
        <v>202</v>
      </c>
      <c r="D26" s="256" t="s">
        <v>315</v>
      </c>
      <c r="E26" s="240">
        <v>45894</v>
      </c>
      <c r="F26" s="240">
        <v>45894</v>
      </c>
      <c r="G26" s="145">
        <v>1</v>
      </c>
      <c r="H26" s="124" t="s">
        <v>376</v>
      </c>
      <c r="I26" s="124" t="s">
        <v>67</v>
      </c>
      <c r="J26" s="124" t="s">
        <v>247</v>
      </c>
      <c r="K26" s="125">
        <v>1000</v>
      </c>
      <c r="L26" s="128"/>
    </row>
    <row r="27" spans="1:18" s="2" customFormat="1" ht="28.5" customHeight="1" x14ac:dyDescent="0.2">
      <c r="B27" s="171" t="s">
        <v>318</v>
      </c>
      <c r="C27" s="217" t="s">
        <v>203</v>
      </c>
      <c r="D27" s="256" t="s">
        <v>315</v>
      </c>
      <c r="E27" s="240">
        <v>45894</v>
      </c>
      <c r="F27" s="240">
        <v>45897</v>
      </c>
      <c r="G27" s="145">
        <f t="shared" ref="G27:G32" si="0">F27-E27</f>
        <v>3</v>
      </c>
      <c r="H27" s="124" t="s">
        <v>376</v>
      </c>
      <c r="I27" s="124" t="s">
        <v>67</v>
      </c>
      <c r="J27" s="124" t="s">
        <v>247</v>
      </c>
      <c r="K27" s="125">
        <v>1000</v>
      </c>
      <c r="L27" s="128"/>
    </row>
    <row r="28" spans="1:18" s="2" customFormat="1" ht="28.5" customHeight="1" x14ac:dyDescent="0.2">
      <c r="B28" s="171" t="s">
        <v>319</v>
      </c>
      <c r="C28" s="217" t="s">
        <v>204</v>
      </c>
      <c r="D28" s="256" t="s">
        <v>318</v>
      </c>
      <c r="E28" s="240">
        <v>45894</v>
      </c>
      <c r="F28" s="240">
        <v>45898</v>
      </c>
      <c r="G28" s="145">
        <f t="shared" si="0"/>
        <v>4</v>
      </c>
      <c r="H28" s="124" t="s">
        <v>376</v>
      </c>
      <c r="I28" s="124" t="s">
        <v>67</v>
      </c>
      <c r="J28" s="124" t="s">
        <v>247</v>
      </c>
      <c r="K28" s="125">
        <v>1000</v>
      </c>
      <c r="L28" s="128"/>
    </row>
    <row r="29" spans="1:18" s="2" customFormat="1" ht="28.5" customHeight="1" x14ac:dyDescent="0.2">
      <c r="A29" s="2" t="s">
        <v>45</v>
      </c>
      <c r="B29" s="171" t="s">
        <v>320</v>
      </c>
      <c r="C29" s="232" t="s">
        <v>205</v>
      </c>
      <c r="D29" s="256" t="s">
        <v>318</v>
      </c>
      <c r="E29" s="240">
        <v>45894</v>
      </c>
      <c r="F29" s="240">
        <v>45898</v>
      </c>
      <c r="G29" s="145">
        <f t="shared" si="0"/>
        <v>4</v>
      </c>
      <c r="H29" s="124" t="s">
        <v>376</v>
      </c>
      <c r="I29" s="124" t="s">
        <v>67</v>
      </c>
      <c r="J29" s="124" t="s">
        <v>247</v>
      </c>
      <c r="K29" s="125">
        <v>2000</v>
      </c>
      <c r="L29" s="128"/>
    </row>
    <row r="30" spans="1:18" s="2" customFormat="1" ht="28.5" customHeight="1" x14ac:dyDescent="0.2">
      <c r="B30" s="171" t="s">
        <v>321</v>
      </c>
      <c r="C30" s="232" t="s">
        <v>206</v>
      </c>
      <c r="D30" s="256" t="s">
        <v>320</v>
      </c>
      <c r="E30" s="240">
        <v>45898</v>
      </c>
      <c r="F30" s="240">
        <v>45899</v>
      </c>
      <c r="G30" s="145">
        <f t="shared" si="0"/>
        <v>1</v>
      </c>
      <c r="H30" s="124" t="s">
        <v>376</v>
      </c>
      <c r="I30" s="124" t="s">
        <v>67</v>
      </c>
      <c r="J30" s="124" t="s">
        <v>247</v>
      </c>
      <c r="K30" s="125">
        <v>4000</v>
      </c>
      <c r="L30" s="128"/>
    </row>
    <row r="31" spans="1:18" s="2" customFormat="1" ht="28.5" customHeight="1" x14ac:dyDescent="0.2">
      <c r="B31" s="171" t="s">
        <v>322</v>
      </c>
      <c r="C31" s="217" t="s">
        <v>207</v>
      </c>
      <c r="D31" s="256" t="s">
        <v>320</v>
      </c>
      <c r="E31" s="240">
        <v>45901</v>
      </c>
      <c r="F31" s="240">
        <v>45902</v>
      </c>
      <c r="G31" s="145">
        <f t="shared" si="0"/>
        <v>1</v>
      </c>
      <c r="H31" s="124" t="s">
        <v>376</v>
      </c>
      <c r="I31" s="124" t="s">
        <v>67</v>
      </c>
      <c r="J31" s="124" t="s">
        <v>247</v>
      </c>
      <c r="K31" s="125">
        <v>1000</v>
      </c>
      <c r="L31" s="128"/>
    </row>
    <row r="32" spans="1:18" s="2" customFormat="1" ht="28.5" customHeight="1" x14ac:dyDescent="0.2">
      <c r="B32" s="171" t="s">
        <v>323</v>
      </c>
      <c r="C32" s="217" t="s">
        <v>208</v>
      </c>
      <c r="D32" s="256" t="s">
        <v>319</v>
      </c>
      <c r="E32" s="240">
        <v>45901</v>
      </c>
      <c r="F32" s="240">
        <v>45902</v>
      </c>
      <c r="G32" s="145">
        <f t="shared" si="0"/>
        <v>1</v>
      </c>
      <c r="H32" s="124" t="s">
        <v>376</v>
      </c>
      <c r="I32" s="124" t="s">
        <v>67</v>
      </c>
      <c r="J32" s="124" t="s">
        <v>247</v>
      </c>
      <c r="K32" s="125">
        <v>2000</v>
      </c>
      <c r="L32" s="128"/>
    </row>
    <row r="33" spans="2:12" s="2" customFormat="1" ht="28.5" customHeight="1" thickBot="1" x14ac:dyDescent="0.25">
      <c r="B33" s="171" t="s">
        <v>324</v>
      </c>
      <c r="C33" s="218" t="s">
        <v>209</v>
      </c>
      <c r="D33" s="252" t="s">
        <v>461</v>
      </c>
      <c r="E33" s="240">
        <v>45901</v>
      </c>
      <c r="F33" s="240">
        <v>45902</v>
      </c>
      <c r="G33" s="143">
        <v>1</v>
      </c>
      <c r="H33" s="124" t="s">
        <v>376</v>
      </c>
      <c r="I33" s="124" t="s">
        <v>67</v>
      </c>
      <c r="J33" s="124" t="s">
        <v>247</v>
      </c>
      <c r="K33" s="125">
        <v>1000</v>
      </c>
      <c r="L33" s="144"/>
    </row>
    <row r="34" spans="2:12" s="8" customFormat="1" ht="36" customHeight="1" thickBot="1" x14ac:dyDescent="0.25">
      <c r="B34" s="147">
        <v>4</v>
      </c>
      <c r="C34" s="148" t="s">
        <v>72</v>
      </c>
      <c r="D34" s="147" t="s">
        <v>324</v>
      </c>
      <c r="E34" s="258">
        <v>45903</v>
      </c>
      <c r="F34" s="258">
        <v>45940</v>
      </c>
      <c r="G34" s="156">
        <v>42</v>
      </c>
      <c r="H34" s="157" t="s">
        <v>378</v>
      </c>
      <c r="I34" s="157" t="s">
        <v>74</v>
      </c>
      <c r="J34" s="157" t="s">
        <v>249</v>
      </c>
      <c r="K34" s="177">
        <f>SUM(K24:K33)</f>
        <v>16000</v>
      </c>
      <c r="L34" s="158"/>
    </row>
    <row r="35" spans="2:12" s="2" customFormat="1" ht="28.5" customHeight="1" x14ac:dyDescent="0.2">
      <c r="B35" s="170" t="s">
        <v>325</v>
      </c>
      <c r="C35" s="219" t="s">
        <v>377</v>
      </c>
      <c r="D35" s="251">
        <v>4</v>
      </c>
      <c r="E35" s="240">
        <v>45903</v>
      </c>
      <c r="F35" s="240">
        <v>45904</v>
      </c>
      <c r="G35" s="145">
        <f>F35-E35</f>
        <v>1</v>
      </c>
      <c r="H35" s="124" t="s">
        <v>378</v>
      </c>
      <c r="I35" s="159" t="s">
        <v>74</v>
      </c>
      <c r="J35" s="124" t="s">
        <v>249</v>
      </c>
      <c r="K35" s="125">
        <v>2000</v>
      </c>
      <c r="L35" s="146"/>
    </row>
    <row r="36" spans="2:12" s="2" customFormat="1" ht="28.5" customHeight="1" x14ac:dyDescent="0.2">
      <c r="B36" s="170" t="s">
        <v>326</v>
      </c>
      <c r="C36" s="219" t="s">
        <v>210</v>
      </c>
      <c r="D36" s="253" t="s">
        <v>325</v>
      </c>
      <c r="E36" s="240">
        <v>45903</v>
      </c>
      <c r="F36" s="240">
        <v>45904</v>
      </c>
      <c r="G36" s="145">
        <f t="shared" ref="G36:G57" si="1">F36-E36</f>
        <v>1</v>
      </c>
      <c r="H36" s="124" t="s">
        <v>378</v>
      </c>
      <c r="I36" s="159" t="s">
        <v>74</v>
      </c>
      <c r="J36" s="124" t="s">
        <v>249</v>
      </c>
      <c r="K36" s="125">
        <v>1000</v>
      </c>
      <c r="L36" s="146"/>
    </row>
    <row r="37" spans="2:12" s="2" customFormat="1" ht="28.5" customHeight="1" x14ac:dyDescent="0.2">
      <c r="B37" s="170" t="s">
        <v>327</v>
      </c>
      <c r="C37" s="219" t="s">
        <v>211</v>
      </c>
      <c r="D37" s="256" t="s">
        <v>325</v>
      </c>
      <c r="E37" s="240">
        <v>45903</v>
      </c>
      <c r="F37" s="240">
        <v>45904</v>
      </c>
      <c r="G37" s="145">
        <f t="shared" si="1"/>
        <v>1</v>
      </c>
      <c r="H37" s="124" t="s">
        <v>378</v>
      </c>
      <c r="I37" s="159" t="s">
        <v>74</v>
      </c>
      <c r="J37" s="124" t="s">
        <v>249</v>
      </c>
      <c r="K37" s="125">
        <v>1000</v>
      </c>
      <c r="L37" s="146"/>
    </row>
    <row r="38" spans="2:12" s="2" customFormat="1" ht="28.5" customHeight="1" x14ac:dyDescent="0.2">
      <c r="B38" s="170" t="s">
        <v>328</v>
      </c>
      <c r="C38" s="219" t="s">
        <v>212</v>
      </c>
      <c r="D38" s="259" t="s">
        <v>325</v>
      </c>
      <c r="E38" s="240">
        <v>45903</v>
      </c>
      <c r="F38" s="240">
        <v>45904</v>
      </c>
      <c r="G38" s="145">
        <f t="shared" si="1"/>
        <v>1</v>
      </c>
      <c r="H38" s="124" t="s">
        <v>378</v>
      </c>
      <c r="I38" s="159" t="s">
        <v>74</v>
      </c>
      <c r="J38" s="124" t="s">
        <v>249</v>
      </c>
      <c r="K38" s="125">
        <v>10000</v>
      </c>
      <c r="L38" s="146"/>
    </row>
    <row r="39" spans="2:12" s="2" customFormat="1" ht="28.5" customHeight="1" x14ac:dyDescent="0.2">
      <c r="B39" s="170" t="s">
        <v>329</v>
      </c>
      <c r="C39" s="219" t="s">
        <v>213</v>
      </c>
      <c r="D39" s="259" t="s">
        <v>325</v>
      </c>
      <c r="E39" s="240">
        <v>45903</v>
      </c>
      <c r="F39" s="240">
        <v>45904</v>
      </c>
      <c r="G39" s="145">
        <f t="shared" si="1"/>
        <v>1</v>
      </c>
      <c r="H39" s="124" t="s">
        <v>378</v>
      </c>
      <c r="I39" s="159" t="s">
        <v>74</v>
      </c>
      <c r="J39" s="124" t="s">
        <v>249</v>
      </c>
      <c r="K39" s="125">
        <v>1000</v>
      </c>
      <c r="L39" s="146"/>
    </row>
    <row r="40" spans="2:12" s="2" customFormat="1" ht="28.5" customHeight="1" x14ac:dyDescent="0.2">
      <c r="B40" s="170" t="s">
        <v>330</v>
      </c>
      <c r="C40" s="219" t="s">
        <v>214</v>
      </c>
      <c r="D40" s="259" t="s">
        <v>325</v>
      </c>
      <c r="E40" s="240">
        <v>45905</v>
      </c>
      <c r="F40" s="240">
        <v>45919</v>
      </c>
      <c r="G40" s="145">
        <f t="shared" si="1"/>
        <v>14</v>
      </c>
      <c r="H40" s="124" t="s">
        <v>378</v>
      </c>
      <c r="I40" s="159" t="s">
        <v>74</v>
      </c>
      <c r="J40" s="124" t="s">
        <v>249</v>
      </c>
      <c r="K40" s="125">
        <v>2000</v>
      </c>
      <c r="L40" s="146"/>
    </row>
    <row r="41" spans="2:12" s="2" customFormat="1" ht="28.5" customHeight="1" x14ac:dyDescent="0.2">
      <c r="B41" s="170" t="s">
        <v>331</v>
      </c>
      <c r="C41" s="219" t="s">
        <v>215</v>
      </c>
      <c r="D41" s="259" t="s">
        <v>330</v>
      </c>
      <c r="E41" s="240">
        <v>45905</v>
      </c>
      <c r="F41" s="240">
        <v>45919</v>
      </c>
      <c r="G41" s="145">
        <f t="shared" si="1"/>
        <v>14</v>
      </c>
      <c r="H41" s="124" t="s">
        <v>378</v>
      </c>
      <c r="I41" s="159" t="s">
        <v>74</v>
      </c>
      <c r="J41" s="124" t="s">
        <v>249</v>
      </c>
      <c r="K41" s="125">
        <v>1000</v>
      </c>
      <c r="L41" s="146"/>
    </row>
    <row r="42" spans="2:12" s="2" customFormat="1" ht="28.5" customHeight="1" x14ac:dyDescent="0.2">
      <c r="B42" s="243" t="s">
        <v>332</v>
      </c>
      <c r="C42" s="242" t="s">
        <v>216</v>
      </c>
      <c r="D42" s="259" t="s">
        <v>331</v>
      </c>
      <c r="E42" s="240">
        <v>45905</v>
      </c>
      <c r="F42" s="240">
        <v>45919</v>
      </c>
      <c r="G42" s="145">
        <f t="shared" si="1"/>
        <v>14</v>
      </c>
      <c r="H42" s="124" t="s">
        <v>378</v>
      </c>
      <c r="I42" s="159" t="s">
        <v>74</v>
      </c>
      <c r="J42" s="124" t="s">
        <v>249</v>
      </c>
      <c r="K42" s="125">
        <v>1000</v>
      </c>
      <c r="L42" s="146"/>
    </row>
    <row r="43" spans="2:12" s="2" customFormat="1" ht="28.5" customHeight="1" x14ac:dyDescent="0.2">
      <c r="B43" s="170" t="s">
        <v>333</v>
      </c>
      <c r="C43" s="219" t="s">
        <v>217</v>
      </c>
      <c r="D43" s="259" t="s">
        <v>331</v>
      </c>
      <c r="E43" s="240">
        <v>45905</v>
      </c>
      <c r="F43" s="240">
        <v>45919</v>
      </c>
      <c r="G43" s="145">
        <f t="shared" si="1"/>
        <v>14</v>
      </c>
      <c r="H43" s="124" t="s">
        <v>378</v>
      </c>
      <c r="I43" s="159" t="s">
        <v>74</v>
      </c>
      <c r="J43" s="124" t="s">
        <v>249</v>
      </c>
      <c r="K43" s="125">
        <v>3000</v>
      </c>
      <c r="L43" s="146"/>
    </row>
    <row r="44" spans="2:12" s="2" customFormat="1" ht="28.5" customHeight="1" x14ac:dyDescent="0.2">
      <c r="B44" s="170" t="s">
        <v>334</v>
      </c>
      <c r="C44" s="217" t="s">
        <v>218</v>
      </c>
      <c r="D44" s="259" t="s">
        <v>333</v>
      </c>
      <c r="E44" s="240">
        <v>45905</v>
      </c>
      <c r="F44" s="240">
        <v>45919</v>
      </c>
      <c r="G44" s="145">
        <f t="shared" si="1"/>
        <v>14</v>
      </c>
      <c r="H44" s="124" t="s">
        <v>378</v>
      </c>
      <c r="I44" s="159" t="s">
        <v>74</v>
      </c>
      <c r="J44" s="124" t="s">
        <v>249</v>
      </c>
      <c r="K44" s="125">
        <v>2000</v>
      </c>
      <c r="L44" s="128"/>
    </row>
    <row r="45" spans="2:12" s="2" customFormat="1" ht="28.5" customHeight="1" x14ac:dyDescent="0.2">
      <c r="B45" s="170" t="s">
        <v>335</v>
      </c>
      <c r="C45" s="217" t="s">
        <v>219</v>
      </c>
      <c r="D45" s="259" t="s">
        <v>334</v>
      </c>
      <c r="E45" s="240">
        <v>45905</v>
      </c>
      <c r="F45" s="240">
        <v>45919</v>
      </c>
      <c r="G45" s="145">
        <f t="shared" si="1"/>
        <v>14</v>
      </c>
      <c r="H45" s="124" t="s">
        <v>378</v>
      </c>
      <c r="I45" s="159" t="s">
        <v>74</v>
      </c>
      <c r="J45" s="124" t="s">
        <v>249</v>
      </c>
      <c r="K45" s="125">
        <v>1000</v>
      </c>
      <c r="L45" s="128"/>
    </row>
    <row r="46" spans="2:12" s="2" customFormat="1" ht="28.5" customHeight="1" x14ac:dyDescent="0.2">
      <c r="B46" s="171" t="s">
        <v>336</v>
      </c>
      <c r="C46" s="217" t="s">
        <v>220</v>
      </c>
      <c r="D46" s="256" t="s">
        <v>462</v>
      </c>
      <c r="E46" s="240">
        <v>45898</v>
      </c>
      <c r="F46" s="240">
        <v>45940</v>
      </c>
      <c r="G46" s="145">
        <f t="shared" si="1"/>
        <v>42</v>
      </c>
      <c r="H46" s="124" t="s">
        <v>378</v>
      </c>
      <c r="I46" s="159" t="s">
        <v>74</v>
      </c>
      <c r="J46" s="124" t="s">
        <v>249</v>
      </c>
      <c r="K46" s="125">
        <v>4000</v>
      </c>
      <c r="L46" s="128"/>
    </row>
    <row r="47" spans="2:12" s="2" customFormat="1" ht="28.5" customHeight="1" x14ac:dyDescent="0.2">
      <c r="B47" s="171" t="s">
        <v>337</v>
      </c>
      <c r="C47" s="217" t="s">
        <v>221</v>
      </c>
      <c r="D47" s="256" t="s">
        <v>314</v>
      </c>
      <c r="E47" s="240">
        <v>45899</v>
      </c>
      <c r="F47" s="240">
        <v>45940</v>
      </c>
      <c r="G47" s="145">
        <f t="shared" si="1"/>
        <v>41</v>
      </c>
      <c r="H47" s="124" t="s">
        <v>378</v>
      </c>
      <c r="I47" s="159" t="s">
        <v>74</v>
      </c>
      <c r="J47" s="124" t="s">
        <v>249</v>
      </c>
      <c r="K47" s="125">
        <v>1000</v>
      </c>
      <c r="L47" s="128"/>
    </row>
    <row r="48" spans="2:12" s="2" customFormat="1" ht="28.5" customHeight="1" x14ac:dyDescent="0.2">
      <c r="B48" s="171" t="s">
        <v>338</v>
      </c>
      <c r="C48" s="217" t="s">
        <v>222</v>
      </c>
      <c r="D48" s="256" t="s">
        <v>336</v>
      </c>
      <c r="E48" s="240">
        <v>45898</v>
      </c>
      <c r="F48" s="240">
        <v>45940</v>
      </c>
      <c r="G48" s="145">
        <f t="shared" si="1"/>
        <v>42</v>
      </c>
      <c r="H48" s="124" t="s">
        <v>378</v>
      </c>
      <c r="I48" s="159" t="s">
        <v>74</v>
      </c>
      <c r="J48" s="124" t="s">
        <v>249</v>
      </c>
      <c r="K48" s="125">
        <v>2000</v>
      </c>
      <c r="L48" s="128"/>
    </row>
    <row r="49" spans="2:12" s="2" customFormat="1" ht="28.5" customHeight="1" x14ac:dyDescent="0.2">
      <c r="B49" s="171" t="s">
        <v>339</v>
      </c>
      <c r="C49" s="217" t="s">
        <v>223</v>
      </c>
      <c r="D49" s="256" t="s">
        <v>336</v>
      </c>
      <c r="E49" s="240">
        <v>45898</v>
      </c>
      <c r="F49" s="240">
        <v>45940</v>
      </c>
      <c r="G49" s="145">
        <f t="shared" si="1"/>
        <v>42</v>
      </c>
      <c r="H49" s="124" t="s">
        <v>378</v>
      </c>
      <c r="I49" s="159" t="s">
        <v>74</v>
      </c>
      <c r="J49" s="124" t="s">
        <v>249</v>
      </c>
      <c r="K49" s="125">
        <v>3000</v>
      </c>
      <c r="L49" s="128"/>
    </row>
    <row r="50" spans="2:12" s="2" customFormat="1" ht="28.5" customHeight="1" x14ac:dyDescent="0.2">
      <c r="B50" s="171" t="s">
        <v>340</v>
      </c>
      <c r="C50" s="217" t="s">
        <v>224</v>
      </c>
      <c r="D50" s="256" t="s">
        <v>336</v>
      </c>
      <c r="E50" s="240">
        <v>45898</v>
      </c>
      <c r="F50" s="240">
        <v>45940</v>
      </c>
      <c r="G50" s="145">
        <f t="shared" si="1"/>
        <v>42</v>
      </c>
      <c r="H50" s="124" t="s">
        <v>378</v>
      </c>
      <c r="I50" s="159" t="s">
        <v>74</v>
      </c>
      <c r="J50" s="124" t="s">
        <v>249</v>
      </c>
      <c r="K50" s="125">
        <v>1000</v>
      </c>
      <c r="L50" s="128"/>
    </row>
    <row r="51" spans="2:12" s="2" customFormat="1" ht="28.5" customHeight="1" x14ac:dyDescent="0.2">
      <c r="B51" s="171" t="s">
        <v>341</v>
      </c>
      <c r="C51" s="217" t="s">
        <v>225</v>
      </c>
      <c r="D51" s="256" t="s">
        <v>336</v>
      </c>
      <c r="E51" s="240">
        <v>45898</v>
      </c>
      <c r="F51" s="240">
        <v>45940</v>
      </c>
      <c r="G51" s="145">
        <f t="shared" si="1"/>
        <v>42</v>
      </c>
      <c r="H51" s="124" t="s">
        <v>378</v>
      </c>
      <c r="I51" s="159" t="s">
        <v>74</v>
      </c>
      <c r="J51" s="124" t="s">
        <v>249</v>
      </c>
      <c r="K51" s="125">
        <v>1000</v>
      </c>
      <c r="L51" s="128"/>
    </row>
    <row r="52" spans="2:12" s="2" customFormat="1" ht="28.5" customHeight="1" x14ac:dyDescent="0.2">
      <c r="B52" s="171" t="s">
        <v>342</v>
      </c>
      <c r="C52" s="217" t="s">
        <v>226</v>
      </c>
      <c r="D52" s="256" t="s">
        <v>336</v>
      </c>
      <c r="E52" s="240">
        <v>45898</v>
      </c>
      <c r="F52" s="240">
        <v>45940</v>
      </c>
      <c r="G52" s="145">
        <f t="shared" si="1"/>
        <v>42</v>
      </c>
      <c r="H52" s="124" t="s">
        <v>378</v>
      </c>
      <c r="I52" s="116" t="s">
        <v>74</v>
      </c>
      <c r="J52" s="124" t="s">
        <v>249</v>
      </c>
      <c r="K52" s="125">
        <v>3000</v>
      </c>
      <c r="L52" s="128"/>
    </row>
    <row r="53" spans="2:12" s="2" customFormat="1" ht="28.5" customHeight="1" x14ac:dyDescent="0.2">
      <c r="B53" s="171" t="s">
        <v>343</v>
      </c>
      <c r="C53" s="217" t="s">
        <v>227</v>
      </c>
      <c r="D53" s="256" t="s">
        <v>463</v>
      </c>
      <c r="E53" s="240">
        <v>45920</v>
      </c>
      <c r="F53" s="240">
        <v>45940</v>
      </c>
      <c r="G53" s="145">
        <f t="shared" si="1"/>
        <v>20</v>
      </c>
      <c r="H53" s="124" t="s">
        <v>378</v>
      </c>
      <c r="I53" s="116" t="s">
        <v>74</v>
      </c>
      <c r="J53" s="124" t="s">
        <v>249</v>
      </c>
      <c r="K53" s="125">
        <v>5000</v>
      </c>
      <c r="L53" s="128"/>
    </row>
    <row r="54" spans="2:12" s="2" customFormat="1" ht="28.5" customHeight="1" x14ac:dyDescent="0.2">
      <c r="B54" s="171" t="s">
        <v>344</v>
      </c>
      <c r="C54" s="217" t="s">
        <v>228</v>
      </c>
      <c r="D54" s="256" t="s">
        <v>463</v>
      </c>
      <c r="E54" s="240">
        <v>45920</v>
      </c>
      <c r="F54" s="240">
        <v>45940</v>
      </c>
      <c r="G54" s="145">
        <f t="shared" si="1"/>
        <v>20</v>
      </c>
      <c r="H54" s="124" t="s">
        <v>378</v>
      </c>
      <c r="I54" s="116" t="s">
        <v>74</v>
      </c>
      <c r="J54" s="124" t="s">
        <v>249</v>
      </c>
      <c r="K54" s="125">
        <v>1000</v>
      </c>
      <c r="L54" s="128"/>
    </row>
    <row r="55" spans="2:12" s="2" customFormat="1" ht="28.5" customHeight="1" x14ac:dyDescent="0.2">
      <c r="B55" s="171" t="s">
        <v>345</v>
      </c>
      <c r="C55" s="217" t="s">
        <v>229</v>
      </c>
      <c r="D55" s="256" t="s">
        <v>463</v>
      </c>
      <c r="E55" s="240">
        <v>45920</v>
      </c>
      <c r="F55" s="240">
        <v>45940</v>
      </c>
      <c r="G55" s="145">
        <f t="shared" si="1"/>
        <v>20</v>
      </c>
      <c r="H55" s="124" t="s">
        <v>378</v>
      </c>
      <c r="I55" s="116" t="s">
        <v>74</v>
      </c>
      <c r="J55" s="124" t="s">
        <v>249</v>
      </c>
      <c r="K55" s="125">
        <v>1000</v>
      </c>
      <c r="L55" s="128"/>
    </row>
    <row r="56" spans="2:12" s="2" customFormat="1" ht="28.5" customHeight="1" x14ac:dyDescent="0.2">
      <c r="B56" s="171" t="s">
        <v>346</v>
      </c>
      <c r="C56" s="217" t="s">
        <v>230</v>
      </c>
      <c r="D56" s="260" t="s">
        <v>345</v>
      </c>
      <c r="E56" s="240">
        <v>45920</v>
      </c>
      <c r="F56" s="240">
        <v>45940</v>
      </c>
      <c r="G56" s="145">
        <f t="shared" si="1"/>
        <v>20</v>
      </c>
      <c r="H56" s="124" t="s">
        <v>378</v>
      </c>
      <c r="I56" s="116" t="s">
        <v>74</v>
      </c>
      <c r="J56" s="124" t="s">
        <v>249</v>
      </c>
      <c r="K56" s="125">
        <v>1000</v>
      </c>
      <c r="L56" s="128"/>
    </row>
    <row r="57" spans="2:12" s="2" customFormat="1" ht="28.5" customHeight="1" thickBot="1" x14ac:dyDescent="0.25">
      <c r="B57" s="171" t="s">
        <v>347</v>
      </c>
      <c r="C57" s="217" t="s">
        <v>231</v>
      </c>
      <c r="D57" s="256" t="s">
        <v>480</v>
      </c>
      <c r="E57" s="240">
        <v>45920</v>
      </c>
      <c r="F57" s="240">
        <v>45940</v>
      </c>
      <c r="G57" s="145">
        <f t="shared" si="1"/>
        <v>20</v>
      </c>
      <c r="H57" s="124" t="s">
        <v>378</v>
      </c>
      <c r="I57" s="116" t="s">
        <v>74</v>
      </c>
      <c r="J57" s="124" t="s">
        <v>249</v>
      </c>
      <c r="K57" s="125">
        <v>1000</v>
      </c>
      <c r="L57" s="128"/>
    </row>
    <row r="58" spans="2:12" s="8" customFormat="1" ht="28.5" customHeight="1" thickBot="1" x14ac:dyDescent="0.25">
      <c r="B58" s="147">
        <v>5</v>
      </c>
      <c r="C58" s="148" t="s">
        <v>232</v>
      </c>
      <c r="D58" s="149" t="s">
        <v>470</v>
      </c>
      <c r="E58" s="258">
        <v>45941</v>
      </c>
      <c r="F58" s="258">
        <v>45945</v>
      </c>
      <c r="G58" s="156">
        <f>F59-E59</f>
        <v>4</v>
      </c>
      <c r="H58" s="157" t="s">
        <v>464</v>
      </c>
      <c r="I58" s="157" t="s">
        <v>122</v>
      </c>
      <c r="J58" s="157" t="s">
        <v>251</v>
      </c>
      <c r="K58" s="177">
        <f>SUM(K35:K52)</f>
        <v>40000</v>
      </c>
      <c r="L58" s="158"/>
    </row>
    <row r="59" spans="2:12" s="2" customFormat="1" ht="28.5" customHeight="1" x14ac:dyDescent="0.2">
      <c r="B59" s="170" t="s">
        <v>348</v>
      </c>
      <c r="C59" s="220" t="s">
        <v>233</v>
      </c>
      <c r="D59" s="122">
        <v>5</v>
      </c>
      <c r="E59" s="238">
        <v>45941</v>
      </c>
      <c r="F59" s="238">
        <v>45945</v>
      </c>
      <c r="G59" s="113">
        <v>1</v>
      </c>
      <c r="H59" s="114" t="s">
        <v>464</v>
      </c>
      <c r="I59" s="115" t="s">
        <v>122</v>
      </c>
      <c r="J59" s="114" t="s">
        <v>251</v>
      </c>
      <c r="K59" s="125">
        <v>2000</v>
      </c>
      <c r="L59" s="146"/>
    </row>
    <row r="60" spans="2:12" s="2" customFormat="1" ht="21" customHeight="1" x14ac:dyDescent="0.2">
      <c r="B60" s="171" t="s">
        <v>349</v>
      </c>
      <c r="C60" s="217" t="s">
        <v>234</v>
      </c>
      <c r="D60" s="109" t="s">
        <v>348</v>
      </c>
      <c r="E60" s="238">
        <v>45941</v>
      </c>
      <c r="F60" s="238">
        <v>45945</v>
      </c>
      <c r="G60" s="113">
        <v>1</v>
      </c>
      <c r="H60" s="114" t="s">
        <v>464</v>
      </c>
      <c r="I60" s="116" t="s">
        <v>122</v>
      </c>
      <c r="J60" s="114" t="s">
        <v>251</v>
      </c>
      <c r="K60" s="125">
        <v>2000</v>
      </c>
      <c r="L60" s="128"/>
    </row>
    <row r="61" spans="2:12" s="2" customFormat="1" ht="28.5" customHeight="1" thickBot="1" x14ac:dyDescent="0.25">
      <c r="B61" s="172" t="s">
        <v>350</v>
      </c>
      <c r="C61" s="218" t="s">
        <v>235</v>
      </c>
      <c r="D61" s="121" t="s">
        <v>471</v>
      </c>
      <c r="E61" s="238">
        <v>45941</v>
      </c>
      <c r="F61" s="238">
        <v>45945</v>
      </c>
      <c r="G61" s="113">
        <v>1</v>
      </c>
      <c r="H61" s="114" t="s">
        <v>464</v>
      </c>
      <c r="I61" s="153" t="s">
        <v>122</v>
      </c>
      <c r="J61" s="114" t="s">
        <v>251</v>
      </c>
      <c r="K61" s="125">
        <v>2000</v>
      </c>
      <c r="L61" s="144"/>
    </row>
    <row r="62" spans="2:12" s="2" customFormat="1" ht="28.5" customHeight="1" thickBot="1" x14ac:dyDescent="0.25">
      <c r="B62" s="147">
        <v>6</v>
      </c>
      <c r="C62" s="148" t="s">
        <v>86</v>
      </c>
      <c r="D62" s="149" t="s">
        <v>350</v>
      </c>
      <c r="E62" s="264">
        <v>45946</v>
      </c>
      <c r="F62" s="264">
        <v>45950</v>
      </c>
      <c r="G62" s="150">
        <f>F62-E62</f>
        <v>4</v>
      </c>
      <c r="H62" s="151" t="s">
        <v>465</v>
      </c>
      <c r="I62" s="151" t="s">
        <v>123</v>
      </c>
      <c r="J62" s="151" t="s">
        <v>250</v>
      </c>
      <c r="K62" s="177">
        <f>SUM(K59:K61)</f>
        <v>6000</v>
      </c>
      <c r="L62" s="152"/>
    </row>
    <row r="63" spans="2:12" s="2" customFormat="1" ht="21" customHeight="1" x14ac:dyDescent="0.2">
      <c r="B63" s="170" t="s">
        <v>351</v>
      </c>
      <c r="C63" s="219" t="s">
        <v>236</v>
      </c>
      <c r="D63" s="122" t="s">
        <v>348</v>
      </c>
      <c r="E63" s="238">
        <v>45946</v>
      </c>
      <c r="F63" s="238">
        <v>45947</v>
      </c>
      <c r="G63" s="113">
        <v>1</v>
      </c>
      <c r="H63" s="114" t="s">
        <v>465</v>
      </c>
      <c r="I63" s="115" t="s">
        <v>123</v>
      </c>
      <c r="J63" s="114" t="s">
        <v>250</v>
      </c>
      <c r="K63" s="125">
        <v>1000</v>
      </c>
      <c r="L63" s="126"/>
    </row>
    <row r="64" spans="2:12" s="2" customFormat="1" ht="21" customHeight="1" x14ac:dyDescent="0.2">
      <c r="B64" s="171" t="s">
        <v>352</v>
      </c>
      <c r="C64" s="219" t="s">
        <v>237</v>
      </c>
      <c r="D64" s="122" t="s">
        <v>351</v>
      </c>
      <c r="E64" s="238">
        <v>45946</v>
      </c>
      <c r="F64" s="238">
        <v>45947</v>
      </c>
      <c r="G64" s="113">
        <v>1</v>
      </c>
      <c r="H64" s="114" t="s">
        <v>465</v>
      </c>
      <c r="I64" s="115" t="s">
        <v>123</v>
      </c>
      <c r="J64" s="114" t="s">
        <v>250</v>
      </c>
      <c r="K64" s="125">
        <v>1000</v>
      </c>
      <c r="L64" s="126"/>
    </row>
    <row r="65" spans="1:12" s="2" customFormat="1" ht="21" customHeight="1" x14ac:dyDescent="0.2">
      <c r="B65" s="171" t="s">
        <v>353</v>
      </c>
      <c r="C65" s="219" t="s">
        <v>238</v>
      </c>
      <c r="D65" s="122" t="s">
        <v>352</v>
      </c>
      <c r="E65" s="238">
        <v>45946</v>
      </c>
      <c r="F65" s="238">
        <v>45947</v>
      </c>
      <c r="G65" s="113">
        <v>1</v>
      </c>
      <c r="H65" s="114" t="s">
        <v>465</v>
      </c>
      <c r="I65" s="115" t="s">
        <v>123</v>
      </c>
      <c r="J65" s="114" t="s">
        <v>250</v>
      </c>
      <c r="K65" s="125">
        <v>1000</v>
      </c>
      <c r="L65" s="126"/>
    </row>
    <row r="66" spans="1:12" s="2" customFormat="1" ht="21" customHeight="1" x14ac:dyDescent="0.2">
      <c r="B66" s="171" t="s">
        <v>354</v>
      </c>
      <c r="C66" s="219" t="s">
        <v>239</v>
      </c>
      <c r="D66" s="122" t="s">
        <v>353</v>
      </c>
      <c r="E66" s="238">
        <v>45946</v>
      </c>
      <c r="F66" s="238">
        <v>45947</v>
      </c>
      <c r="G66" s="113">
        <v>1</v>
      </c>
      <c r="H66" s="114" t="s">
        <v>465</v>
      </c>
      <c r="I66" s="115" t="s">
        <v>123</v>
      </c>
      <c r="J66" s="114" t="s">
        <v>250</v>
      </c>
      <c r="K66" s="125">
        <v>1000</v>
      </c>
      <c r="L66" s="126"/>
    </row>
    <row r="67" spans="1:12" s="2" customFormat="1" ht="21" customHeight="1" x14ac:dyDescent="0.2">
      <c r="B67" s="170" t="s">
        <v>355</v>
      </c>
      <c r="C67" s="219" t="s">
        <v>240</v>
      </c>
      <c r="D67" s="122" t="s">
        <v>354</v>
      </c>
      <c r="E67" s="238">
        <v>45947</v>
      </c>
      <c r="F67" s="238">
        <v>45948</v>
      </c>
      <c r="G67" s="113">
        <v>1</v>
      </c>
      <c r="H67" s="114" t="s">
        <v>465</v>
      </c>
      <c r="I67" s="115" t="s">
        <v>123</v>
      </c>
      <c r="J67" s="114" t="s">
        <v>250</v>
      </c>
      <c r="K67" s="125">
        <v>1000</v>
      </c>
      <c r="L67" s="126"/>
    </row>
    <row r="68" spans="1:12" s="2" customFormat="1" ht="21" customHeight="1" x14ac:dyDescent="0.2">
      <c r="B68" s="170" t="s">
        <v>356</v>
      </c>
      <c r="C68" s="217" t="s">
        <v>241</v>
      </c>
      <c r="D68" s="122" t="s">
        <v>355</v>
      </c>
      <c r="E68" s="238">
        <v>45947</v>
      </c>
      <c r="F68" s="238">
        <v>45948</v>
      </c>
      <c r="G68" s="113">
        <v>1</v>
      </c>
      <c r="H68" s="114" t="s">
        <v>465</v>
      </c>
      <c r="I68" s="115" t="s">
        <v>123</v>
      </c>
      <c r="J68" s="114" t="s">
        <v>250</v>
      </c>
      <c r="K68" s="125">
        <v>1000</v>
      </c>
      <c r="L68" s="126"/>
    </row>
    <row r="69" spans="1:12" s="2" customFormat="1" ht="24" customHeight="1" x14ac:dyDescent="0.2">
      <c r="B69" s="170" t="s">
        <v>357</v>
      </c>
      <c r="C69" s="217" t="s">
        <v>242</v>
      </c>
      <c r="D69" s="122" t="s">
        <v>356</v>
      </c>
      <c r="E69" s="239">
        <v>45948</v>
      </c>
      <c r="F69" s="239">
        <v>45949</v>
      </c>
      <c r="G69" s="113">
        <v>1</v>
      </c>
      <c r="H69" s="114" t="s">
        <v>465</v>
      </c>
      <c r="I69" s="115" t="s">
        <v>123</v>
      </c>
      <c r="J69" s="114" t="s">
        <v>250</v>
      </c>
      <c r="K69" s="125">
        <v>1000</v>
      </c>
      <c r="L69" s="127"/>
    </row>
    <row r="70" spans="1:12" s="2" customFormat="1" ht="24" customHeight="1" x14ac:dyDescent="0.2">
      <c r="B70" s="170" t="s">
        <v>358</v>
      </c>
      <c r="C70" s="218" t="s">
        <v>243</v>
      </c>
      <c r="D70" s="122" t="s">
        <v>357</v>
      </c>
      <c r="E70" s="239">
        <v>45948</v>
      </c>
      <c r="F70" s="239">
        <v>45949</v>
      </c>
      <c r="G70" s="113">
        <v>1</v>
      </c>
      <c r="H70" s="114" t="s">
        <v>465</v>
      </c>
      <c r="I70" s="115" t="s">
        <v>123</v>
      </c>
      <c r="J70" s="114" t="s">
        <v>250</v>
      </c>
      <c r="K70" s="125">
        <v>1000</v>
      </c>
      <c r="L70" s="154"/>
    </row>
    <row r="71" spans="1:12" s="2" customFormat="1" ht="24" customHeight="1" x14ac:dyDescent="0.2">
      <c r="B71" s="172" t="s">
        <v>359</v>
      </c>
      <c r="C71" s="218" t="s">
        <v>244</v>
      </c>
      <c r="D71" s="122" t="s">
        <v>358</v>
      </c>
      <c r="E71" s="265">
        <v>45949</v>
      </c>
      <c r="F71" s="265">
        <v>45950</v>
      </c>
      <c r="G71" s="113">
        <v>1</v>
      </c>
      <c r="H71" s="114" t="s">
        <v>465</v>
      </c>
      <c r="I71" s="115" t="s">
        <v>123</v>
      </c>
      <c r="J71" s="114" t="s">
        <v>250</v>
      </c>
      <c r="K71" s="125">
        <v>1000</v>
      </c>
      <c r="L71" s="154"/>
    </row>
    <row r="72" spans="1:12" s="2" customFormat="1" ht="24" customHeight="1" x14ac:dyDescent="0.2">
      <c r="B72" s="172" t="s">
        <v>360</v>
      </c>
      <c r="C72" s="218" t="s">
        <v>481</v>
      </c>
      <c r="D72" s="122" t="s">
        <v>359</v>
      </c>
      <c r="E72" s="265">
        <v>45949</v>
      </c>
      <c r="F72" s="265">
        <v>45950</v>
      </c>
      <c r="G72" s="113">
        <v>1</v>
      </c>
      <c r="H72" s="114" t="s">
        <v>465</v>
      </c>
      <c r="I72" s="115" t="s">
        <v>123</v>
      </c>
      <c r="J72" s="114" t="s">
        <v>250</v>
      </c>
      <c r="K72" s="125">
        <v>1000</v>
      </c>
      <c r="L72" s="154"/>
    </row>
    <row r="73" spans="1:12" s="2" customFormat="1" ht="24" customHeight="1" x14ac:dyDescent="0.2">
      <c r="B73" s="172" t="s">
        <v>361</v>
      </c>
      <c r="C73" s="218" t="s">
        <v>245</v>
      </c>
      <c r="D73" s="122" t="s">
        <v>360</v>
      </c>
      <c r="E73" s="265">
        <v>45949</v>
      </c>
      <c r="F73" s="265">
        <v>45950</v>
      </c>
      <c r="G73" s="113">
        <v>1</v>
      </c>
      <c r="H73" s="114" t="s">
        <v>465</v>
      </c>
      <c r="I73" s="115" t="s">
        <v>123</v>
      </c>
      <c r="J73" s="114" t="s">
        <v>250</v>
      </c>
      <c r="K73" s="125">
        <v>1000</v>
      </c>
      <c r="L73" s="154"/>
    </row>
    <row r="74" spans="1:12" s="2" customFormat="1" ht="28.5" customHeight="1" thickBot="1" x14ac:dyDescent="0.25">
      <c r="B74" s="172" t="s">
        <v>362</v>
      </c>
      <c r="C74" s="218" t="s">
        <v>246</v>
      </c>
      <c r="D74" s="122" t="s">
        <v>361</v>
      </c>
      <c r="E74" s="265">
        <v>45949</v>
      </c>
      <c r="F74" s="265">
        <v>45950</v>
      </c>
      <c r="G74" s="113">
        <v>1</v>
      </c>
      <c r="H74" s="114" t="s">
        <v>465</v>
      </c>
      <c r="I74" s="115" t="s">
        <v>123</v>
      </c>
      <c r="J74" s="114" t="s">
        <v>250</v>
      </c>
      <c r="K74" s="125">
        <v>1000</v>
      </c>
      <c r="L74" s="154"/>
    </row>
    <row r="75" spans="1:12" s="2" customFormat="1" ht="28.5" customHeight="1" thickBot="1" x14ac:dyDescent="0.25">
      <c r="B75" s="147">
        <v>7</v>
      </c>
      <c r="C75" s="148" t="s">
        <v>175</v>
      </c>
      <c r="D75" s="149" t="s">
        <v>362</v>
      </c>
      <c r="E75" s="264">
        <v>45951</v>
      </c>
      <c r="F75" s="264">
        <v>45952</v>
      </c>
      <c r="G75" s="150">
        <v>1</v>
      </c>
      <c r="H75" s="207" t="s">
        <v>466</v>
      </c>
      <c r="I75" s="151" t="s">
        <v>56</v>
      </c>
      <c r="J75" s="151" t="s">
        <v>248</v>
      </c>
      <c r="K75" s="176">
        <f>SUM(K63:K74)</f>
        <v>12000</v>
      </c>
      <c r="L75" s="152"/>
    </row>
    <row r="76" spans="1:12" s="2" customFormat="1" ht="28.5" customHeight="1" x14ac:dyDescent="0.2">
      <c r="B76" s="170" t="s">
        <v>363</v>
      </c>
      <c r="C76" s="221" t="s">
        <v>190</v>
      </c>
      <c r="D76" s="122" t="s">
        <v>362</v>
      </c>
      <c r="E76" s="238">
        <v>45951</v>
      </c>
      <c r="F76" s="238">
        <v>45952</v>
      </c>
      <c r="G76" s="113">
        <v>1</v>
      </c>
      <c r="H76" s="114" t="s">
        <v>466</v>
      </c>
      <c r="I76" s="106" t="s">
        <v>56</v>
      </c>
      <c r="J76" s="208" t="s">
        <v>248</v>
      </c>
      <c r="K76" s="125">
        <v>1000</v>
      </c>
      <c r="L76" s="126"/>
    </row>
    <row r="77" spans="1:12" s="2" customFormat="1" ht="20.25" customHeight="1" x14ac:dyDescent="0.2">
      <c r="B77" s="171" t="s">
        <v>364</v>
      </c>
      <c r="C77" s="217" t="s">
        <v>191</v>
      </c>
      <c r="D77" s="109" t="s">
        <v>363</v>
      </c>
      <c r="E77" s="238">
        <v>45951</v>
      </c>
      <c r="F77" s="238">
        <v>45952</v>
      </c>
      <c r="G77" s="113">
        <v>1</v>
      </c>
      <c r="H77" s="114" t="s">
        <v>466</v>
      </c>
      <c r="I77" s="106" t="s">
        <v>56</v>
      </c>
      <c r="J77" s="208" t="s">
        <v>248</v>
      </c>
      <c r="K77" s="125">
        <v>1000</v>
      </c>
      <c r="L77" s="127"/>
    </row>
    <row r="78" spans="1:12" s="2" customFormat="1" ht="20.25" customHeight="1" x14ac:dyDescent="0.2">
      <c r="B78" s="171" t="s">
        <v>365</v>
      </c>
      <c r="C78" s="218" t="s">
        <v>192</v>
      </c>
      <c r="D78" s="121" t="s">
        <v>364</v>
      </c>
      <c r="E78" s="238">
        <v>45951</v>
      </c>
      <c r="F78" s="238">
        <v>45952</v>
      </c>
      <c r="G78" s="113">
        <v>1</v>
      </c>
      <c r="H78" s="114" t="s">
        <v>466</v>
      </c>
      <c r="I78" s="106" t="s">
        <v>56</v>
      </c>
      <c r="J78" s="208" t="s">
        <v>248</v>
      </c>
      <c r="K78" s="125">
        <v>1000</v>
      </c>
      <c r="L78" s="154"/>
    </row>
    <row r="79" spans="1:12" s="2" customFormat="1" ht="22.5" customHeight="1" thickBot="1" x14ac:dyDescent="0.25">
      <c r="A79" s="2" t="s">
        <v>99</v>
      </c>
      <c r="B79" s="171" t="s">
        <v>366</v>
      </c>
      <c r="C79" s="218" t="s">
        <v>193</v>
      </c>
      <c r="D79" s="121" t="s">
        <v>365</v>
      </c>
      <c r="E79" s="238">
        <v>45951</v>
      </c>
      <c r="F79" s="238">
        <v>45952</v>
      </c>
      <c r="G79" s="113">
        <v>1</v>
      </c>
      <c r="H79" s="114" t="s">
        <v>466</v>
      </c>
      <c r="I79" s="106" t="s">
        <v>56</v>
      </c>
      <c r="J79" s="208" t="s">
        <v>248</v>
      </c>
      <c r="K79" s="125">
        <v>1000</v>
      </c>
      <c r="L79" s="154"/>
    </row>
    <row r="80" spans="1:12" s="2" customFormat="1" ht="28.5" customHeight="1" thickBot="1" x14ac:dyDescent="0.25">
      <c r="B80" s="147">
        <v>8</v>
      </c>
      <c r="C80" s="222" t="s">
        <v>174</v>
      </c>
      <c r="D80" s="149" t="s">
        <v>366</v>
      </c>
      <c r="E80" s="264">
        <v>45953</v>
      </c>
      <c r="F80" s="264">
        <v>45955</v>
      </c>
      <c r="G80" s="150">
        <f>F80-E80</f>
        <v>2</v>
      </c>
      <c r="H80" s="151" t="s">
        <v>467</v>
      </c>
      <c r="I80" s="151" t="s">
        <v>128</v>
      </c>
      <c r="J80" s="151" t="s">
        <v>248</v>
      </c>
      <c r="K80" s="176">
        <f>SUM(K76:K79)</f>
        <v>4000</v>
      </c>
      <c r="L80" s="152"/>
    </row>
    <row r="81" spans="2:12" s="2" customFormat="1" ht="28.5" customHeight="1" x14ac:dyDescent="0.2">
      <c r="B81" s="170" t="s">
        <v>367</v>
      </c>
      <c r="C81" s="219" t="s">
        <v>187</v>
      </c>
      <c r="D81" s="122" t="s">
        <v>366</v>
      </c>
      <c r="E81" s="238">
        <v>45953</v>
      </c>
      <c r="F81" s="238">
        <v>45955</v>
      </c>
      <c r="G81" s="113">
        <v>2</v>
      </c>
      <c r="H81" s="114" t="s">
        <v>467</v>
      </c>
      <c r="I81" s="114" t="s">
        <v>128</v>
      </c>
      <c r="J81" s="208" t="s">
        <v>248</v>
      </c>
      <c r="K81" s="125">
        <v>1000</v>
      </c>
      <c r="L81" s="126"/>
    </row>
    <row r="82" spans="2:12" s="2" customFormat="1" ht="28.5" customHeight="1" x14ac:dyDescent="0.2">
      <c r="B82" s="171" t="s">
        <v>368</v>
      </c>
      <c r="C82" s="217" t="s">
        <v>188</v>
      </c>
      <c r="D82" s="109" t="s">
        <v>367</v>
      </c>
      <c r="E82" s="238">
        <v>45953</v>
      </c>
      <c r="F82" s="238">
        <v>45955</v>
      </c>
      <c r="G82" s="113">
        <v>2</v>
      </c>
      <c r="H82" s="114" t="s">
        <v>467</v>
      </c>
      <c r="I82" s="108" t="s">
        <v>128</v>
      </c>
      <c r="J82" s="208" t="s">
        <v>248</v>
      </c>
      <c r="K82" s="125">
        <v>1000</v>
      </c>
      <c r="L82" s="127"/>
    </row>
    <row r="83" spans="2:12" s="2" customFormat="1" ht="28.5" customHeight="1" thickBot="1" x14ac:dyDescent="0.25">
      <c r="B83" s="171" t="s">
        <v>369</v>
      </c>
      <c r="C83" s="218" t="s">
        <v>189</v>
      </c>
      <c r="D83" s="121" t="s">
        <v>368</v>
      </c>
      <c r="E83" s="238">
        <v>45953</v>
      </c>
      <c r="F83" s="238">
        <v>45955</v>
      </c>
      <c r="G83" s="113">
        <v>2</v>
      </c>
      <c r="H83" s="114" t="s">
        <v>467</v>
      </c>
      <c r="I83" s="118" t="s">
        <v>128</v>
      </c>
      <c r="J83" s="208" t="s">
        <v>248</v>
      </c>
      <c r="K83" s="125">
        <v>1000</v>
      </c>
      <c r="L83" s="154"/>
    </row>
    <row r="84" spans="2:12" s="2" customFormat="1" ht="28.5" customHeight="1" thickBot="1" x14ac:dyDescent="0.25">
      <c r="B84" s="147">
        <v>9</v>
      </c>
      <c r="C84" s="222" t="s">
        <v>115</v>
      </c>
      <c r="D84" s="149" t="s">
        <v>369</v>
      </c>
      <c r="E84" s="264">
        <v>45956</v>
      </c>
      <c r="F84" s="264">
        <v>45958</v>
      </c>
      <c r="G84" s="150">
        <f>F84-E84</f>
        <v>2</v>
      </c>
      <c r="H84" s="151" t="s">
        <v>468</v>
      </c>
      <c r="I84" s="151" t="s">
        <v>128</v>
      </c>
      <c r="J84" s="151" t="s">
        <v>248</v>
      </c>
      <c r="K84" s="176">
        <f>SUM(K81,K82,K83)</f>
        <v>3000</v>
      </c>
      <c r="L84" s="152"/>
    </row>
    <row r="85" spans="2:12" s="2" customFormat="1" ht="28.5" customHeight="1" x14ac:dyDescent="0.2">
      <c r="B85" s="173" t="s">
        <v>370</v>
      </c>
      <c r="C85" s="219" t="s">
        <v>184</v>
      </c>
      <c r="D85" s="168" t="s">
        <v>369</v>
      </c>
      <c r="E85" s="238">
        <v>45956</v>
      </c>
      <c r="F85" s="238">
        <v>45958</v>
      </c>
      <c r="G85" s="113">
        <v>1</v>
      </c>
      <c r="H85" s="114" t="s">
        <v>468</v>
      </c>
      <c r="I85" s="118" t="s">
        <v>128</v>
      </c>
      <c r="J85" s="208" t="s">
        <v>248</v>
      </c>
      <c r="K85" s="125">
        <v>1000</v>
      </c>
      <c r="L85" s="126"/>
    </row>
    <row r="86" spans="2:12" s="2" customFormat="1" ht="28.5" customHeight="1" x14ac:dyDescent="0.2">
      <c r="B86" s="174" t="s">
        <v>371</v>
      </c>
      <c r="C86" s="217" t="s">
        <v>185</v>
      </c>
      <c r="D86" s="169" t="s">
        <v>370</v>
      </c>
      <c r="E86" s="238">
        <v>45956</v>
      </c>
      <c r="F86" s="238">
        <v>45958</v>
      </c>
      <c r="G86" s="113">
        <v>1</v>
      </c>
      <c r="H86" s="114" t="s">
        <v>468</v>
      </c>
      <c r="I86" s="118" t="s">
        <v>128</v>
      </c>
      <c r="J86" s="208" t="s">
        <v>248</v>
      </c>
      <c r="K86" s="125">
        <v>1000</v>
      </c>
      <c r="L86" s="127"/>
    </row>
    <row r="87" spans="2:12" ht="28.5" customHeight="1" thickBot="1" x14ac:dyDescent="0.25">
      <c r="B87" s="174" t="s">
        <v>372</v>
      </c>
      <c r="C87" s="218" t="s">
        <v>186</v>
      </c>
      <c r="D87" s="209" t="s">
        <v>371</v>
      </c>
      <c r="E87" s="238">
        <v>45956</v>
      </c>
      <c r="F87" s="238">
        <v>45958</v>
      </c>
      <c r="G87" s="113">
        <v>1</v>
      </c>
      <c r="H87" s="114" t="s">
        <v>468</v>
      </c>
      <c r="I87" s="118" t="s">
        <v>128</v>
      </c>
      <c r="J87" s="208" t="s">
        <v>248</v>
      </c>
      <c r="K87" s="125">
        <v>1000</v>
      </c>
      <c r="L87" s="129"/>
    </row>
    <row r="88" spans="2:12" ht="28.5" customHeight="1" thickBot="1" x14ac:dyDescent="0.25">
      <c r="B88" s="227">
        <v>10</v>
      </c>
      <c r="C88" s="222" t="s">
        <v>171</v>
      </c>
      <c r="D88" s="210" t="s">
        <v>372</v>
      </c>
      <c r="E88" s="266">
        <v>45959</v>
      </c>
      <c r="F88" s="266">
        <v>45960</v>
      </c>
      <c r="G88" s="163">
        <f>F88-E88</f>
        <v>1</v>
      </c>
      <c r="H88" s="149" t="s">
        <v>469</v>
      </c>
      <c r="I88" s="211" t="s">
        <v>128</v>
      </c>
      <c r="J88" s="151" t="s">
        <v>248</v>
      </c>
      <c r="K88" s="178">
        <f>SUM(K85:K87)</f>
        <v>3000</v>
      </c>
      <c r="L88" s="164"/>
    </row>
    <row r="89" spans="2:12" ht="18" customHeight="1" x14ac:dyDescent="0.2">
      <c r="B89" s="228" t="s">
        <v>373</v>
      </c>
      <c r="C89" s="223" t="s">
        <v>182</v>
      </c>
      <c r="D89" s="212" t="s">
        <v>372</v>
      </c>
      <c r="E89" s="267">
        <v>45959</v>
      </c>
      <c r="F89" s="267">
        <v>45960</v>
      </c>
      <c r="G89" s="160">
        <v>1</v>
      </c>
      <c r="H89" s="122" t="s">
        <v>469</v>
      </c>
      <c r="I89" s="213" t="s">
        <v>128</v>
      </c>
      <c r="J89" s="208" t="s">
        <v>248</v>
      </c>
      <c r="K89" s="161">
        <v>1000</v>
      </c>
      <c r="L89" s="162"/>
    </row>
    <row r="90" spans="2:12" ht="21" customHeight="1" thickBot="1" x14ac:dyDescent="0.25">
      <c r="B90" s="229" t="s">
        <v>374</v>
      </c>
      <c r="C90" s="224" t="s">
        <v>183</v>
      </c>
      <c r="D90" s="214" t="s">
        <v>373</v>
      </c>
      <c r="E90" s="267">
        <v>45959</v>
      </c>
      <c r="F90" s="267">
        <v>45960</v>
      </c>
      <c r="G90" s="160">
        <v>1</v>
      </c>
      <c r="H90" s="122" t="s">
        <v>469</v>
      </c>
      <c r="I90" s="213" t="s">
        <v>128</v>
      </c>
      <c r="J90" s="208" t="s">
        <v>248</v>
      </c>
      <c r="K90" s="161">
        <v>1000</v>
      </c>
      <c r="L90" s="132"/>
    </row>
    <row r="91" spans="2:12" ht="24" customHeight="1" thickBot="1" x14ac:dyDescent="0.25">
      <c r="B91" s="609"/>
      <c r="C91" s="610"/>
      <c r="D91" s="216"/>
      <c r="E91" s="215"/>
      <c r="F91" s="215"/>
      <c r="G91" s="215"/>
      <c r="H91" s="215"/>
      <c r="I91" s="215"/>
      <c r="J91" s="215"/>
      <c r="K91" s="180">
        <f>SUM(K89:K90)</f>
        <v>2000</v>
      </c>
      <c r="L91" s="130"/>
    </row>
    <row r="92" spans="2:12" s="8" customFormat="1" ht="16.5" thickBot="1" x14ac:dyDescent="0.25">
      <c r="B92" s="119"/>
      <c r="C92" s="133"/>
      <c r="D92" s="606" t="s">
        <v>35</v>
      </c>
      <c r="E92" s="607"/>
      <c r="F92" s="607"/>
      <c r="G92" s="608"/>
      <c r="H92" s="608"/>
      <c r="I92" s="608"/>
      <c r="J92" s="608"/>
      <c r="K92" s="206">
        <f>SUM(K15+K23+K34+K58+K75+K80+K62+K84+K88+K91)</f>
        <v>108000</v>
      </c>
      <c r="L92" s="179"/>
    </row>
    <row r="104" ht="15" customHeight="1" x14ac:dyDescent="0.2"/>
    <row r="105" ht="15" customHeight="1" x14ac:dyDescent="0.2"/>
    <row r="106" ht="15" customHeight="1" x14ac:dyDescent="0.2"/>
    <row r="110" ht="19.5" customHeight="1" x14ac:dyDescent="0.2"/>
    <row r="111" ht="34.5" customHeight="1" x14ac:dyDescent="0.2"/>
    <row r="112" ht="18.75" customHeight="1" x14ac:dyDescent="0.2"/>
  </sheetData>
  <mergeCells count="4">
    <mergeCell ref="D92:J92"/>
    <mergeCell ref="B91:C91"/>
    <mergeCell ref="P23:Q23"/>
    <mergeCell ref="O9:R9"/>
  </mergeCells>
  <phoneticPr fontId="6" type="noConversion"/>
  <printOptions horizontalCentered="1"/>
  <pageMargins left="0.25" right="0.25" top="0.75" bottom="0.75" header="0.3" footer="0.3"/>
  <pageSetup paperSize="9" scale="39" fitToHeight="0" orientation="landscape" r:id="rId1"/>
  <headerFooter alignWithMargins="0">
    <oddFooter>&amp;R14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B3:J62"/>
  <sheetViews>
    <sheetView showGridLines="0" zoomScale="90" zoomScaleNormal="90" workbookViewId="0">
      <pane ySplit="8" topLeftCell="A9" activePane="bottomLeft" state="frozenSplit"/>
      <selection pane="bottomLeft" activeCell="B35" sqref="B35"/>
    </sheetView>
  </sheetViews>
  <sheetFormatPr defaultRowHeight="13.5" customHeight="1" x14ac:dyDescent="0.2"/>
  <cols>
    <col min="1" max="1" width="3.42578125" customWidth="1"/>
    <col min="2" max="2" width="7.85546875" style="1" customWidth="1"/>
    <col min="3" max="3" width="101.7109375" style="3" customWidth="1"/>
    <col min="4" max="4" width="12.85546875" style="1" customWidth="1"/>
    <col min="5" max="5" width="12.140625" style="1" customWidth="1"/>
    <col min="6" max="6" width="10.85546875" style="1" customWidth="1"/>
    <col min="7" max="7" width="19" customWidth="1"/>
    <col min="8" max="8" width="25.42578125" customWidth="1"/>
    <col min="9" max="9" width="6" customWidth="1"/>
  </cols>
  <sheetData>
    <row r="3" spans="2:10" ht="13.5" customHeight="1" x14ac:dyDescent="0.2">
      <c r="C3" s="182"/>
    </row>
    <row r="6" spans="2:10" ht="13.5" customHeight="1" x14ac:dyDescent="0.25">
      <c r="B6" s="4" t="s">
        <v>50</v>
      </c>
    </row>
    <row r="7" spans="2:10" ht="13.5" customHeight="1" thickBot="1" x14ac:dyDescent="0.25"/>
    <row r="8" spans="2:10" s="14" customFormat="1" ht="26.25" customHeight="1" thickBot="1" x14ac:dyDescent="0.25">
      <c r="B8" s="281" t="s">
        <v>0</v>
      </c>
      <c r="C8" s="282" t="s">
        <v>51</v>
      </c>
      <c r="D8" s="282" t="s">
        <v>2</v>
      </c>
      <c r="E8" s="282" t="s">
        <v>28</v>
      </c>
      <c r="F8" s="282" t="s">
        <v>3</v>
      </c>
      <c r="G8" s="282" t="s">
        <v>4</v>
      </c>
      <c r="H8" s="282" t="s">
        <v>5</v>
      </c>
      <c r="I8" s="283" t="s">
        <v>6</v>
      </c>
    </row>
    <row r="9" spans="2:10" ht="13.5" customHeight="1" x14ac:dyDescent="0.2">
      <c r="B9" s="284" t="s">
        <v>304</v>
      </c>
      <c r="C9" s="288" t="s">
        <v>252</v>
      </c>
      <c r="D9" s="122"/>
      <c r="E9" s="196">
        <v>1</v>
      </c>
      <c r="F9" s="204" t="s">
        <v>47</v>
      </c>
      <c r="G9" s="195" t="s">
        <v>56</v>
      </c>
      <c r="H9" s="188" t="s">
        <v>48</v>
      </c>
      <c r="I9" s="190" t="s">
        <v>13</v>
      </c>
      <c r="J9" s="189"/>
    </row>
    <row r="10" spans="2:10" ht="13.5" customHeight="1" x14ac:dyDescent="0.2">
      <c r="B10" s="285" t="s">
        <v>308</v>
      </c>
      <c r="C10" s="289" t="s">
        <v>253</v>
      </c>
      <c r="D10" s="109" t="s">
        <v>304</v>
      </c>
      <c r="E10" s="196">
        <v>1</v>
      </c>
      <c r="F10" s="204" t="s">
        <v>47</v>
      </c>
      <c r="G10" s="186" t="s">
        <v>56</v>
      </c>
      <c r="H10" s="184" t="s">
        <v>48</v>
      </c>
      <c r="I10" s="191" t="s">
        <v>13</v>
      </c>
      <c r="J10" s="189"/>
    </row>
    <row r="11" spans="2:10" ht="13.5" customHeight="1" x14ac:dyDescent="0.2">
      <c r="B11" s="286" t="s">
        <v>306</v>
      </c>
      <c r="C11" s="290" t="s">
        <v>254</v>
      </c>
      <c r="D11" s="109" t="s">
        <v>304</v>
      </c>
      <c r="E11" s="196">
        <v>1</v>
      </c>
      <c r="F11" s="204" t="s">
        <v>47</v>
      </c>
      <c r="G11" s="186" t="s">
        <v>56</v>
      </c>
      <c r="H11" s="184" t="s">
        <v>48</v>
      </c>
      <c r="I11" s="192"/>
      <c r="J11" s="189"/>
    </row>
    <row r="12" spans="2:10" ht="13.5" customHeight="1" x14ac:dyDescent="0.2">
      <c r="B12" s="287" t="s">
        <v>472</v>
      </c>
      <c r="C12" s="289" t="s">
        <v>255</v>
      </c>
      <c r="D12" s="109" t="s">
        <v>304</v>
      </c>
      <c r="E12" s="198">
        <v>1</v>
      </c>
      <c r="F12" s="204" t="s">
        <v>47</v>
      </c>
      <c r="G12" s="186" t="s">
        <v>56</v>
      </c>
      <c r="H12" s="184" t="s">
        <v>48</v>
      </c>
      <c r="I12" s="193"/>
      <c r="J12" s="189"/>
    </row>
    <row r="13" spans="2:10" ht="13.5" customHeight="1" x14ac:dyDescent="0.2">
      <c r="B13" s="291" t="s">
        <v>309</v>
      </c>
      <c r="C13" s="270" t="s">
        <v>195</v>
      </c>
      <c r="D13" s="122" t="s">
        <v>304</v>
      </c>
      <c r="E13" s="198">
        <v>2</v>
      </c>
      <c r="F13" s="202" t="s">
        <v>172</v>
      </c>
      <c r="G13" s="186" t="s">
        <v>56</v>
      </c>
      <c r="H13" s="184" t="s">
        <v>48</v>
      </c>
      <c r="I13" s="194" t="s">
        <v>13</v>
      </c>
      <c r="J13" s="189"/>
    </row>
    <row r="14" spans="2:10" ht="13.5" customHeight="1" x14ac:dyDescent="0.2">
      <c r="B14" s="291" t="s">
        <v>305</v>
      </c>
      <c r="C14" s="270" t="s">
        <v>256</v>
      </c>
      <c r="D14" s="255" t="s">
        <v>309</v>
      </c>
      <c r="E14" s="198">
        <v>2</v>
      </c>
      <c r="F14" s="202" t="s">
        <v>172</v>
      </c>
      <c r="G14" s="186" t="s">
        <v>56</v>
      </c>
      <c r="H14" s="184" t="s">
        <v>48</v>
      </c>
      <c r="I14" s="194" t="s">
        <v>13</v>
      </c>
      <c r="J14" s="189"/>
    </row>
    <row r="15" spans="2:10" ht="13.5" customHeight="1" x14ac:dyDescent="0.2">
      <c r="B15" s="291" t="s">
        <v>310</v>
      </c>
      <c r="C15" s="270" t="s">
        <v>257</v>
      </c>
      <c r="D15" s="255" t="s">
        <v>309</v>
      </c>
      <c r="E15" s="198">
        <v>2</v>
      </c>
      <c r="F15" s="205" t="s">
        <v>47</v>
      </c>
      <c r="G15" s="186" t="s">
        <v>56</v>
      </c>
      <c r="H15" s="184" t="s">
        <v>48</v>
      </c>
      <c r="I15" s="194" t="s">
        <v>13</v>
      </c>
      <c r="J15" s="189"/>
    </row>
    <row r="16" spans="2:10" ht="13.5" customHeight="1" x14ac:dyDescent="0.2">
      <c r="B16" s="291" t="s">
        <v>311</v>
      </c>
      <c r="C16" s="270" t="s">
        <v>197</v>
      </c>
      <c r="D16" s="256" t="s">
        <v>309</v>
      </c>
      <c r="E16" s="197">
        <v>2</v>
      </c>
      <c r="F16" s="205" t="s">
        <v>47</v>
      </c>
      <c r="G16" s="186" t="s">
        <v>56</v>
      </c>
      <c r="H16" s="184" t="s">
        <v>48</v>
      </c>
      <c r="I16" s="194" t="s">
        <v>13</v>
      </c>
      <c r="J16" s="189"/>
    </row>
    <row r="17" spans="2:10" ht="13.5" customHeight="1" x14ac:dyDescent="0.2">
      <c r="B17" s="291" t="s">
        <v>312</v>
      </c>
      <c r="C17" s="270" t="s">
        <v>258</v>
      </c>
      <c r="D17" s="256" t="s">
        <v>375</v>
      </c>
      <c r="E17" s="185">
        <v>1</v>
      </c>
      <c r="F17" s="200" t="s">
        <v>172</v>
      </c>
      <c r="G17" s="186" t="s">
        <v>56</v>
      </c>
      <c r="H17" s="184" t="s">
        <v>48</v>
      </c>
      <c r="I17" s="194" t="s">
        <v>13</v>
      </c>
      <c r="J17" s="189"/>
    </row>
    <row r="18" spans="2:10" ht="13.5" customHeight="1" x14ac:dyDescent="0.2">
      <c r="B18" s="291" t="s">
        <v>313</v>
      </c>
      <c r="C18" s="270" t="s">
        <v>259</v>
      </c>
      <c r="D18" s="256" t="s">
        <v>375</v>
      </c>
      <c r="E18" s="185">
        <v>1</v>
      </c>
      <c r="F18" s="201" t="s">
        <v>47</v>
      </c>
      <c r="G18" s="186" t="s">
        <v>56</v>
      </c>
      <c r="H18" s="184" t="s">
        <v>48</v>
      </c>
      <c r="I18" s="194" t="s">
        <v>13</v>
      </c>
      <c r="J18" s="189"/>
    </row>
    <row r="19" spans="2:10" ht="13.5" customHeight="1" x14ac:dyDescent="0.2">
      <c r="B19" s="291" t="s">
        <v>314</v>
      </c>
      <c r="C19" s="270" t="s">
        <v>199</v>
      </c>
      <c r="D19" s="305" t="s">
        <v>375</v>
      </c>
      <c r="E19" s="185">
        <v>1</v>
      </c>
      <c r="F19" s="202" t="s">
        <v>47</v>
      </c>
      <c r="G19" s="186" t="s">
        <v>56</v>
      </c>
      <c r="H19" s="184" t="s">
        <v>48</v>
      </c>
      <c r="I19" s="194" t="s">
        <v>13</v>
      </c>
      <c r="J19" s="189"/>
    </row>
    <row r="20" spans="2:10" ht="13.5" customHeight="1" x14ac:dyDescent="0.2">
      <c r="B20" s="292" t="s">
        <v>315</v>
      </c>
      <c r="C20" s="271" t="s">
        <v>260</v>
      </c>
      <c r="D20" s="122" t="s">
        <v>309</v>
      </c>
      <c r="E20" s="185">
        <v>1</v>
      </c>
      <c r="F20" s="202" t="s">
        <v>47</v>
      </c>
      <c r="G20" s="185" t="s">
        <v>67</v>
      </c>
      <c r="H20" s="184" t="s">
        <v>301</v>
      </c>
      <c r="I20" s="194" t="s">
        <v>13</v>
      </c>
      <c r="J20" s="189"/>
    </row>
    <row r="21" spans="2:10" ht="13.5" customHeight="1" x14ac:dyDescent="0.2">
      <c r="B21" s="292" t="s">
        <v>316</v>
      </c>
      <c r="C21" s="271" t="s">
        <v>261</v>
      </c>
      <c r="D21" s="255" t="s">
        <v>315</v>
      </c>
      <c r="E21" s="185">
        <v>1</v>
      </c>
      <c r="F21" s="202" t="s">
        <v>47</v>
      </c>
      <c r="G21" s="185" t="s">
        <v>67</v>
      </c>
      <c r="H21" s="184" t="s">
        <v>301</v>
      </c>
      <c r="I21" s="194" t="s">
        <v>13</v>
      </c>
      <c r="J21" s="189"/>
    </row>
    <row r="22" spans="2:10" ht="13.5" customHeight="1" x14ac:dyDescent="0.2">
      <c r="B22" s="293" t="s">
        <v>317</v>
      </c>
      <c r="C22" s="271" t="s">
        <v>262</v>
      </c>
      <c r="D22" s="256" t="s">
        <v>315</v>
      </c>
      <c r="E22" s="185">
        <v>1</v>
      </c>
      <c r="F22" s="202" t="s">
        <v>47</v>
      </c>
      <c r="G22" s="185" t="s">
        <v>67</v>
      </c>
      <c r="H22" s="184" t="s">
        <v>301</v>
      </c>
      <c r="I22" s="194" t="s">
        <v>13</v>
      </c>
      <c r="J22" s="189"/>
    </row>
    <row r="23" spans="2:10" ht="13.5" customHeight="1" x14ac:dyDescent="0.2">
      <c r="B23" s="293" t="s">
        <v>318</v>
      </c>
      <c r="C23" s="271" t="s">
        <v>263</v>
      </c>
      <c r="D23" s="256" t="s">
        <v>315</v>
      </c>
      <c r="E23" s="185">
        <v>1</v>
      </c>
      <c r="F23" s="203" t="s">
        <v>172</v>
      </c>
      <c r="G23" s="185" t="s">
        <v>67</v>
      </c>
      <c r="H23" s="184" t="s">
        <v>301</v>
      </c>
      <c r="I23" s="194" t="s">
        <v>13</v>
      </c>
      <c r="J23" s="189"/>
    </row>
    <row r="24" spans="2:10" ht="13.5" customHeight="1" x14ac:dyDescent="0.2">
      <c r="B24" s="293" t="s">
        <v>319</v>
      </c>
      <c r="C24" s="271" t="s">
        <v>264</v>
      </c>
      <c r="D24" s="256" t="s">
        <v>318</v>
      </c>
      <c r="E24" s="185">
        <v>1</v>
      </c>
      <c r="F24" s="201" t="s">
        <v>172</v>
      </c>
      <c r="G24" s="185" t="s">
        <v>67</v>
      </c>
      <c r="H24" s="184" t="s">
        <v>301</v>
      </c>
      <c r="I24" s="194" t="s">
        <v>13</v>
      </c>
      <c r="J24" s="189"/>
    </row>
    <row r="25" spans="2:10" ht="13.5" customHeight="1" x14ac:dyDescent="0.2">
      <c r="B25" s="293" t="s">
        <v>320</v>
      </c>
      <c r="C25" s="271" t="s">
        <v>265</v>
      </c>
      <c r="D25" s="256" t="s">
        <v>318</v>
      </c>
      <c r="E25" s="185">
        <v>1</v>
      </c>
      <c r="F25" s="201" t="s">
        <v>172</v>
      </c>
      <c r="G25" s="185" t="s">
        <v>67</v>
      </c>
      <c r="H25" s="184" t="s">
        <v>301</v>
      </c>
      <c r="I25" s="194" t="s">
        <v>13</v>
      </c>
      <c r="J25" s="189"/>
    </row>
    <row r="26" spans="2:10" ht="13.5" customHeight="1" x14ac:dyDescent="0.2">
      <c r="B26" s="293" t="s">
        <v>321</v>
      </c>
      <c r="C26" s="271" t="s">
        <v>266</v>
      </c>
      <c r="D26" s="256" t="s">
        <v>320</v>
      </c>
      <c r="E26" s="185">
        <v>1</v>
      </c>
      <c r="F26" s="201" t="s">
        <v>47</v>
      </c>
      <c r="G26" s="185" t="s">
        <v>67</v>
      </c>
      <c r="H26" s="184" t="s">
        <v>302</v>
      </c>
      <c r="I26" s="194" t="s">
        <v>13</v>
      </c>
      <c r="J26" s="189"/>
    </row>
    <row r="27" spans="2:10" ht="13.5" customHeight="1" x14ac:dyDescent="0.2">
      <c r="B27" s="294" t="s">
        <v>325</v>
      </c>
      <c r="C27" s="272" t="s">
        <v>210</v>
      </c>
      <c r="D27" s="186" t="s">
        <v>309</v>
      </c>
      <c r="E27" s="185">
        <v>3</v>
      </c>
      <c r="F27" s="201" t="s">
        <v>172</v>
      </c>
      <c r="G27" s="185" t="s">
        <v>74</v>
      </c>
      <c r="H27" s="184" t="s">
        <v>302</v>
      </c>
      <c r="I27" s="194" t="s">
        <v>13</v>
      </c>
      <c r="J27" s="189"/>
    </row>
    <row r="28" spans="2:10" ht="13.5" customHeight="1" x14ac:dyDescent="0.2">
      <c r="B28" s="294" t="s">
        <v>326</v>
      </c>
      <c r="C28" s="272" t="s">
        <v>267</v>
      </c>
      <c r="D28" s="186" t="s">
        <v>325</v>
      </c>
      <c r="E28" s="185">
        <v>3</v>
      </c>
      <c r="F28" s="201" t="s">
        <v>47</v>
      </c>
      <c r="G28" s="185" t="s">
        <v>74</v>
      </c>
      <c r="H28" s="184" t="s">
        <v>302</v>
      </c>
      <c r="I28" s="194" t="s">
        <v>13</v>
      </c>
      <c r="J28" s="189"/>
    </row>
    <row r="29" spans="2:10" ht="13.5" customHeight="1" x14ac:dyDescent="0.2">
      <c r="B29" s="294" t="s">
        <v>327</v>
      </c>
      <c r="C29" s="272" t="s">
        <v>268</v>
      </c>
      <c r="D29" s="186" t="s">
        <v>326</v>
      </c>
      <c r="E29" s="185">
        <v>3</v>
      </c>
      <c r="F29" s="201" t="s">
        <v>172</v>
      </c>
      <c r="G29" s="185" t="s">
        <v>74</v>
      </c>
      <c r="H29" s="184" t="s">
        <v>302</v>
      </c>
      <c r="I29" s="194" t="s">
        <v>13</v>
      </c>
      <c r="J29" s="189"/>
    </row>
    <row r="30" spans="2:10" ht="13.5" customHeight="1" x14ac:dyDescent="0.2">
      <c r="B30" s="295" t="s">
        <v>328</v>
      </c>
      <c r="C30" s="273" t="s">
        <v>269</v>
      </c>
      <c r="D30" s="256" t="s">
        <v>321</v>
      </c>
      <c r="E30" s="185">
        <v>3</v>
      </c>
      <c r="F30" s="201" t="s">
        <v>47</v>
      </c>
      <c r="G30" s="185" t="s">
        <v>74</v>
      </c>
      <c r="H30" s="184" t="s">
        <v>302</v>
      </c>
      <c r="I30" s="194" t="s">
        <v>13</v>
      </c>
      <c r="J30" s="189"/>
    </row>
    <row r="31" spans="2:10" ht="23.25" customHeight="1" x14ac:dyDescent="0.2">
      <c r="B31" s="295" t="s">
        <v>329</v>
      </c>
      <c r="C31" s="274" t="s">
        <v>270</v>
      </c>
      <c r="D31" s="186" t="s">
        <v>328</v>
      </c>
      <c r="E31" s="185">
        <v>3</v>
      </c>
      <c r="F31" s="201" t="s">
        <v>172</v>
      </c>
      <c r="G31" s="185" t="s">
        <v>74</v>
      </c>
      <c r="H31" s="184" t="s">
        <v>302</v>
      </c>
      <c r="I31" s="194" t="s">
        <v>13</v>
      </c>
      <c r="J31" s="189"/>
    </row>
    <row r="32" spans="2:10" ht="13.5" customHeight="1" x14ac:dyDescent="0.2">
      <c r="B32" s="295" t="s">
        <v>330</v>
      </c>
      <c r="C32" s="273" t="s">
        <v>271</v>
      </c>
      <c r="D32" s="186" t="s">
        <v>328</v>
      </c>
      <c r="E32" s="185">
        <v>3</v>
      </c>
      <c r="F32" s="201" t="s">
        <v>172</v>
      </c>
      <c r="G32" s="185" t="s">
        <v>74</v>
      </c>
      <c r="H32" s="184" t="s">
        <v>302</v>
      </c>
      <c r="I32" s="194" t="s">
        <v>13</v>
      </c>
      <c r="J32" s="189"/>
    </row>
    <row r="33" spans="2:10" ht="13.5" customHeight="1" x14ac:dyDescent="0.2">
      <c r="B33" s="295" t="s">
        <v>331</v>
      </c>
      <c r="C33" s="273" t="s">
        <v>272</v>
      </c>
      <c r="D33" s="186" t="s">
        <v>328</v>
      </c>
      <c r="E33" s="185">
        <v>3</v>
      </c>
      <c r="F33" s="201" t="s">
        <v>172</v>
      </c>
      <c r="G33" s="185" t="s">
        <v>74</v>
      </c>
      <c r="H33" s="184" t="s">
        <v>302</v>
      </c>
      <c r="I33" s="194" t="s">
        <v>13</v>
      </c>
      <c r="J33" s="189"/>
    </row>
    <row r="34" spans="2:10" ht="13.5" customHeight="1" x14ac:dyDescent="0.2">
      <c r="B34" s="296" t="s">
        <v>332</v>
      </c>
      <c r="C34" s="275" t="s">
        <v>273</v>
      </c>
      <c r="D34" s="186" t="s">
        <v>477</v>
      </c>
      <c r="E34" s="185">
        <v>3</v>
      </c>
      <c r="F34" s="201" t="s">
        <v>47</v>
      </c>
      <c r="G34" s="185" t="s">
        <v>74</v>
      </c>
      <c r="H34" s="184" t="s">
        <v>302</v>
      </c>
      <c r="I34" s="194" t="s">
        <v>13</v>
      </c>
      <c r="J34" s="189"/>
    </row>
    <row r="35" spans="2:10" ht="13.5" customHeight="1" x14ac:dyDescent="0.2">
      <c r="B35" s="296" t="s">
        <v>333</v>
      </c>
      <c r="C35" s="275" t="s">
        <v>274</v>
      </c>
      <c r="D35" s="186" t="s">
        <v>332</v>
      </c>
      <c r="E35" s="185">
        <v>3</v>
      </c>
      <c r="F35" s="201" t="s">
        <v>47</v>
      </c>
      <c r="G35" s="185" t="s">
        <v>74</v>
      </c>
      <c r="H35" s="184" t="s">
        <v>302</v>
      </c>
      <c r="I35" s="194" t="s">
        <v>13</v>
      </c>
      <c r="J35" s="189"/>
    </row>
    <row r="36" spans="2:10" ht="13.5" customHeight="1" x14ac:dyDescent="0.2">
      <c r="B36" s="296" t="s">
        <v>334</v>
      </c>
      <c r="C36" s="275" t="s">
        <v>275</v>
      </c>
      <c r="D36" s="186" t="s">
        <v>333</v>
      </c>
      <c r="E36" s="185">
        <v>3</v>
      </c>
      <c r="F36" s="201" t="s">
        <v>47</v>
      </c>
      <c r="G36" s="185" t="s">
        <v>74</v>
      </c>
      <c r="H36" s="184" t="s">
        <v>302</v>
      </c>
      <c r="I36" s="194" t="s">
        <v>13</v>
      </c>
      <c r="J36" s="189"/>
    </row>
    <row r="37" spans="2:10" ht="13.5" customHeight="1" x14ac:dyDescent="0.2">
      <c r="B37" s="296" t="s">
        <v>335</v>
      </c>
      <c r="C37" s="276" t="s">
        <v>276</v>
      </c>
      <c r="D37" s="186" t="s">
        <v>334</v>
      </c>
      <c r="E37" s="185">
        <v>3</v>
      </c>
      <c r="F37" s="201" t="s">
        <v>47</v>
      </c>
      <c r="G37" s="185" t="s">
        <v>74</v>
      </c>
      <c r="H37" s="184" t="s">
        <v>302</v>
      </c>
      <c r="I37" s="194" t="s">
        <v>13</v>
      </c>
      <c r="J37" s="189"/>
    </row>
    <row r="38" spans="2:10" ht="13.5" customHeight="1" x14ac:dyDescent="0.2">
      <c r="B38" s="297" t="s">
        <v>336</v>
      </c>
      <c r="C38" s="275" t="s">
        <v>277</v>
      </c>
      <c r="D38" s="186" t="s">
        <v>335</v>
      </c>
      <c r="E38" s="185">
        <v>3</v>
      </c>
      <c r="F38" s="201" t="s">
        <v>172</v>
      </c>
      <c r="G38" s="185" t="s">
        <v>74</v>
      </c>
      <c r="H38" s="184" t="s">
        <v>302</v>
      </c>
      <c r="I38" s="194" t="s">
        <v>13</v>
      </c>
      <c r="J38" s="189"/>
    </row>
    <row r="39" spans="2:10" ht="13.5" customHeight="1" x14ac:dyDescent="0.2">
      <c r="B39" s="298" t="s">
        <v>337</v>
      </c>
      <c r="C39" s="277" t="s">
        <v>278</v>
      </c>
      <c r="D39" s="186" t="s">
        <v>328</v>
      </c>
      <c r="E39" s="185">
        <v>3</v>
      </c>
      <c r="F39" s="201" t="s">
        <v>172</v>
      </c>
      <c r="G39" s="185" t="s">
        <v>74</v>
      </c>
      <c r="H39" s="184" t="s">
        <v>302</v>
      </c>
      <c r="I39" s="194" t="s">
        <v>13</v>
      </c>
      <c r="J39" s="189"/>
    </row>
    <row r="40" spans="2:10" ht="13.5" customHeight="1" x14ac:dyDescent="0.2">
      <c r="B40" s="298" t="s">
        <v>338</v>
      </c>
      <c r="C40" s="277" t="s">
        <v>279</v>
      </c>
      <c r="D40" s="186" t="s">
        <v>337</v>
      </c>
      <c r="E40" s="185">
        <v>3</v>
      </c>
      <c r="F40" s="201" t="s">
        <v>172</v>
      </c>
      <c r="G40" s="185" t="s">
        <v>74</v>
      </c>
      <c r="H40" s="184" t="s">
        <v>302</v>
      </c>
      <c r="I40" s="194" t="s">
        <v>13</v>
      </c>
      <c r="J40" s="189"/>
    </row>
    <row r="41" spans="2:10" ht="13.5" customHeight="1" x14ac:dyDescent="0.2">
      <c r="B41" s="298" t="s">
        <v>339</v>
      </c>
      <c r="C41" s="277" t="s">
        <v>280</v>
      </c>
      <c r="D41" s="186" t="s">
        <v>338</v>
      </c>
      <c r="E41" s="185">
        <v>3</v>
      </c>
      <c r="F41" s="201" t="s">
        <v>172</v>
      </c>
      <c r="G41" s="185" t="s">
        <v>74</v>
      </c>
      <c r="H41" s="184" t="s">
        <v>302</v>
      </c>
      <c r="I41" s="194" t="s">
        <v>13</v>
      </c>
      <c r="J41" s="189"/>
    </row>
    <row r="42" spans="2:10" ht="13.5" customHeight="1" x14ac:dyDescent="0.2">
      <c r="B42" s="298" t="s">
        <v>340</v>
      </c>
      <c r="C42" s="277" t="s">
        <v>281</v>
      </c>
      <c r="D42" s="186" t="s">
        <v>342</v>
      </c>
      <c r="E42" s="185">
        <v>3</v>
      </c>
      <c r="F42" s="201" t="s">
        <v>172</v>
      </c>
      <c r="G42" s="185" t="s">
        <v>74</v>
      </c>
      <c r="H42" s="184" t="s">
        <v>302</v>
      </c>
      <c r="I42" s="194" t="s">
        <v>13</v>
      </c>
      <c r="J42" s="189"/>
    </row>
    <row r="43" spans="2:10" ht="13.5" customHeight="1" x14ac:dyDescent="0.2">
      <c r="B43" s="298" t="s">
        <v>341</v>
      </c>
      <c r="C43" s="277" t="s">
        <v>282</v>
      </c>
      <c r="D43" s="186" t="s">
        <v>340</v>
      </c>
      <c r="E43" s="185">
        <v>3</v>
      </c>
      <c r="F43" s="201" t="s">
        <v>172</v>
      </c>
      <c r="G43" s="185" t="s">
        <v>74</v>
      </c>
      <c r="H43" s="184" t="s">
        <v>302</v>
      </c>
      <c r="I43" s="194" t="s">
        <v>13</v>
      </c>
      <c r="J43" s="189"/>
    </row>
    <row r="44" spans="2:10" ht="13.5" customHeight="1" x14ac:dyDescent="0.2">
      <c r="B44" s="299" t="s">
        <v>342</v>
      </c>
      <c r="C44" s="277" t="s">
        <v>283</v>
      </c>
      <c r="D44" s="186" t="s">
        <v>341</v>
      </c>
      <c r="E44" s="185">
        <v>3</v>
      </c>
      <c r="F44" s="201" t="s">
        <v>172</v>
      </c>
      <c r="G44" s="185" t="s">
        <v>74</v>
      </c>
      <c r="H44" s="184" t="s">
        <v>302</v>
      </c>
      <c r="I44" s="194" t="s">
        <v>13</v>
      </c>
      <c r="J44" s="189"/>
    </row>
    <row r="45" spans="2:10" ht="13.5" customHeight="1" x14ac:dyDescent="0.2">
      <c r="B45" s="284" t="s">
        <v>348</v>
      </c>
      <c r="C45" s="278" t="s">
        <v>284</v>
      </c>
      <c r="D45" s="186" t="s">
        <v>478</v>
      </c>
      <c r="E45" s="185">
        <v>3</v>
      </c>
      <c r="F45" s="201" t="s">
        <v>172</v>
      </c>
      <c r="G45" s="185" t="s">
        <v>74</v>
      </c>
      <c r="H45" s="184" t="s">
        <v>302</v>
      </c>
      <c r="I45" s="194" t="s">
        <v>13</v>
      </c>
      <c r="J45" s="189"/>
    </row>
    <row r="46" spans="2:10" ht="13.5" customHeight="1" x14ac:dyDescent="0.2">
      <c r="B46" s="285" t="s">
        <v>349</v>
      </c>
      <c r="C46" s="278" t="s">
        <v>240</v>
      </c>
      <c r="D46" s="186" t="s">
        <v>348</v>
      </c>
      <c r="E46" s="185">
        <v>3</v>
      </c>
      <c r="F46" s="201" t="s">
        <v>172</v>
      </c>
      <c r="G46" s="185" t="s">
        <v>74</v>
      </c>
      <c r="H46" s="184" t="s">
        <v>302</v>
      </c>
      <c r="I46" s="194" t="s">
        <v>13</v>
      </c>
      <c r="J46" s="189"/>
    </row>
    <row r="47" spans="2:10" ht="13.5" customHeight="1" x14ac:dyDescent="0.2">
      <c r="B47" s="286" t="s">
        <v>350</v>
      </c>
      <c r="C47" s="278" t="s">
        <v>285</v>
      </c>
      <c r="D47" s="186" t="s">
        <v>349</v>
      </c>
      <c r="E47" s="185">
        <v>3</v>
      </c>
      <c r="F47" s="201" t="s">
        <v>172</v>
      </c>
      <c r="G47" s="185" t="s">
        <v>74</v>
      </c>
      <c r="H47" s="184" t="s">
        <v>302</v>
      </c>
      <c r="I47" s="194" t="s">
        <v>13</v>
      </c>
      <c r="J47" s="189"/>
    </row>
    <row r="48" spans="2:10" ht="13.5" customHeight="1" x14ac:dyDescent="0.2">
      <c r="B48" s="300" t="s">
        <v>473</v>
      </c>
      <c r="C48" s="278" t="s">
        <v>286</v>
      </c>
      <c r="D48" s="187" t="s">
        <v>479</v>
      </c>
      <c r="E48" s="185">
        <v>3</v>
      </c>
      <c r="F48" s="201" t="s">
        <v>172</v>
      </c>
      <c r="G48" s="185" t="s">
        <v>74</v>
      </c>
      <c r="H48" s="184" t="s">
        <v>302</v>
      </c>
      <c r="I48" s="194" t="s">
        <v>13</v>
      </c>
      <c r="J48" s="189"/>
    </row>
    <row r="49" spans="2:10" ht="13.5" customHeight="1" x14ac:dyDescent="0.2">
      <c r="B49" s="300" t="s">
        <v>474</v>
      </c>
      <c r="C49" s="278" t="s">
        <v>287</v>
      </c>
      <c r="D49" s="187" t="s">
        <v>473</v>
      </c>
      <c r="E49" s="185">
        <v>3</v>
      </c>
      <c r="F49" s="201" t="s">
        <v>172</v>
      </c>
      <c r="G49" s="185" t="s">
        <v>74</v>
      </c>
      <c r="H49" s="184" t="s">
        <v>302</v>
      </c>
      <c r="I49" s="194" t="s">
        <v>13</v>
      </c>
      <c r="J49" s="189"/>
    </row>
    <row r="50" spans="2:10" ht="13.5" customHeight="1" x14ac:dyDescent="0.2">
      <c r="B50" s="301" t="s">
        <v>351</v>
      </c>
      <c r="C50" s="279" t="s">
        <v>288</v>
      </c>
      <c r="D50" s="187" t="s">
        <v>474</v>
      </c>
      <c r="E50" s="185">
        <v>3</v>
      </c>
      <c r="F50" s="201" t="s">
        <v>172</v>
      </c>
      <c r="G50" s="185" t="s">
        <v>74</v>
      </c>
      <c r="H50" s="184" t="s">
        <v>302</v>
      </c>
      <c r="I50" s="194"/>
      <c r="J50" s="189"/>
    </row>
    <row r="51" spans="2:10" ht="13.5" customHeight="1" x14ac:dyDescent="0.2">
      <c r="B51" s="241" t="s">
        <v>352</v>
      </c>
      <c r="C51" s="279" t="s">
        <v>289</v>
      </c>
      <c r="D51" s="187" t="s">
        <v>351</v>
      </c>
      <c r="E51" s="185">
        <v>3</v>
      </c>
      <c r="F51" s="201" t="s">
        <v>172</v>
      </c>
      <c r="G51" s="185" t="s">
        <v>74</v>
      </c>
      <c r="H51" s="184" t="s">
        <v>302</v>
      </c>
      <c r="I51" s="194"/>
      <c r="J51" s="189"/>
    </row>
    <row r="52" spans="2:10" ht="13.5" customHeight="1" x14ac:dyDescent="0.2">
      <c r="B52" s="241" t="s">
        <v>353</v>
      </c>
      <c r="C52" s="279" t="s">
        <v>290</v>
      </c>
      <c r="D52" s="187" t="s">
        <v>352</v>
      </c>
      <c r="E52" s="185">
        <v>3</v>
      </c>
      <c r="F52" s="201" t="s">
        <v>172</v>
      </c>
      <c r="G52" s="185" t="s">
        <v>74</v>
      </c>
      <c r="H52" s="184" t="s">
        <v>302</v>
      </c>
      <c r="I52" s="194"/>
      <c r="J52" s="189"/>
    </row>
    <row r="53" spans="2:10" ht="13.5" customHeight="1" x14ac:dyDescent="0.2">
      <c r="B53" s="241" t="s">
        <v>354</v>
      </c>
      <c r="C53" s="279" t="s">
        <v>291</v>
      </c>
      <c r="D53" s="187" t="s">
        <v>353</v>
      </c>
      <c r="E53" s="185">
        <v>3</v>
      </c>
      <c r="F53" s="201" t="s">
        <v>172</v>
      </c>
      <c r="G53" s="185" t="s">
        <v>74</v>
      </c>
      <c r="H53" s="184" t="s">
        <v>302</v>
      </c>
      <c r="I53" s="194"/>
      <c r="J53" s="189"/>
    </row>
    <row r="54" spans="2:10" ht="13.5" customHeight="1" x14ac:dyDescent="0.2">
      <c r="B54" s="301" t="s">
        <v>355</v>
      </c>
      <c r="C54" s="279" t="s">
        <v>292</v>
      </c>
      <c r="D54" s="199" t="s">
        <v>354</v>
      </c>
      <c r="E54" s="186">
        <v>1</v>
      </c>
      <c r="F54" s="201" t="s">
        <v>172</v>
      </c>
      <c r="G54" s="185" t="s">
        <v>128</v>
      </c>
      <c r="H54" s="184" t="s">
        <v>48</v>
      </c>
      <c r="I54" s="194"/>
      <c r="J54" s="189"/>
    </row>
    <row r="55" spans="2:10" ht="13.5" customHeight="1" x14ac:dyDescent="0.2">
      <c r="B55" s="301" t="s">
        <v>356</v>
      </c>
      <c r="C55" s="279" t="s">
        <v>293</v>
      </c>
      <c r="D55" s="199" t="s">
        <v>355</v>
      </c>
      <c r="E55" s="186">
        <v>1</v>
      </c>
      <c r="F55" s="201" t="s">
        <v>172</v>
      </c>
      <c r="G55" s="185" t="s">
        <v>128</v>
      </c>
      <c r="H55" s="184" t="s">
        <v>48</v>
      </c>
      <c r="I55" s="194"/>
      <c r="J55" s="189"/>
    </row>
    <row r="56" spans="2:10" ht="13.5" customHeight="1" x14ac:dyDescent="0.2">
      <c r="B56" s="301" t="s">
        <v>357</v>
      </c>
      <c r="C56" s="279" t="s">
        <v>294</v>
      </c>
      <c r="D56" s="199" t="s">
        <v>356</v>
      </c>
      <c r="E56" s="186">
        <v>1</v>
      </c>
      <c r="F56" s="201" t="s">
        <v>172</v>
      </c>
      <c r="G56" s="185" t="s">
        <v>128</v>
      </c>
      <c r="H56" s="184" t="s">
        <v>48</v>
      </c>
      <c r="I56" s="194"/>
      <c r="J56" s="189"/>
    </row>
    <row r="57" spans="2:10" ht="13.5" customHeight="1" x14ac:dyDescent="0.2">
      <c r="B57" s="302" t="s">
        <v>363</v>
      </c>
      <c r="C57" s="280" t="s">
        <v>295</v>
      </c>
      <c r="D57" s="199" t="s">
        <v>357</v>
      </c>
      <c r="E57" s="186">
        <v>1</v>
      </c>
      <c r="F57" s="201" t="s">
        <v>172</v>
      </c>
      <c r="G57" s="185" t="s">
        <v>128</v>
      </c>
      <c r="H57" s="184" t="s">
        <v>48</v>
      </c>
      <c r="I57" s="194"/>
      <c r="J57" s="189"/>
    </row>
    <row r="58" spans="2:10" ht="13.5" customHeight="1" x14ac:dyDescent="0.2">
      <c r="B58" s="303" t="s">
        <v>364</v>
      </c>
      <c r="C58" s="280" t="s">
        <v>296</v>
      </c>
      <c r="D58" s="199" t="s">
        <v>363</v>
      </c>
      <c r="E58" s="186">
        <v>1</v>
      </c>
      <c r="F58" s="201" t="s">
        <v>172</v>
      </c>
      <c r="G58" s="185" t="s">
        <v>128</v>
      </c>
      <c r="H58" s="184" t="s">
        <v>48</v>
      </c>
      <c r="I58" s="194"/>
      <c r="J58" s="189"/>
    </row>
    <row r="59" spans="2:10" ht="13.5" customHeight="1" x14ac:dyDescent="0.2">
      <c r="B59" s="303" t="s">
        <v>365</v>
      </c>
      <c r="C59" s="280" t="s">
        <v>297</v>
      </c>
      <c r="D59" s="199" t="s">
        <v>364</v>
      </c>
      <c r="E59" s="186">
        <v>1</v>
      </c>
      <c r="F59" s="201" t="s">
        <v>172</v>
      </c>
      <c r="G59" s="185" t="s">
        <v>128</v>
      </c>
      <c r="H59" s="184" t="s">
        <v>48</v>
      </c>
      <c r="I59" s="194"/>
      <c r="J59" s="189"/>
    </row>
    <row r="60" spans="2:10" ht="13.5" customHeight="1" x14ac:dyDescent="0.2">
      <c r="B60" s="303" t="s">
        <v>366</v>
      </c>
      <c r="C60" s="280" t="s">
        <v>298</v>
      </c>
      <c r="D60" s="199" t="s">
        <v>365</v>
      </c>
      <c r="E60" s="186">
        <v>1</v>
      </c>
      <c r="F60" s="201" t="s">
        <v>172</v>
      </c>
      <c r="G60" s="185" t="s">
        <v>128</v>
      </c>
      <c r="H60" s="184" t="s">
        <v>48</v>
      </c>
      <c r="I60" s="194"/>
      <c r="J60" s="189"/>
    </row>
    <row r="61" spans="2:10" ht="13.5" customHeight="1" x14ac:dyDescent="0.2">
      <c r="B61" s="304" t="s">
        <v>475</v>
      </c>
      <c r="C61" s="280" t="s">
        <v>299</v>
      </c>
      <c r="D61" s="199" t="s">
        <v>366</v>
      </c>
      <c r="E61" s="186">
        <v>1</v>
      </c>
      <c r="F61" s="201" t="s">
        <v>172</v>
      </c>
      <c r="G61" s="185" t="s">
        <v>128</v>
      </c>
      <c r="H61" s="184" t="s">
        <v>48</v>
      </c>
      <c r="I61" s="194"/>
      <c r="J61" s="189"/>
    </row>
    <row r="62" spans="2:10" ht="13.5" customHeight="1" x14ac:dyDescent="0.2">
      <c r="B62" s="304" t="s">
        <v>476</v>
      </c>
      <c r="C62" s="280" t="s">
        <v>300</v>
      </c>
      <c r="D62" s="199" t="s">
        <v>475</v>
      </c>
      <c r="E62" s="186">
        <v>1</v>
      </c>
      <c r="F62" s="201" t="s">
        <v>172</v>
      </c>
      <c r="G62" s="185" t="s">
        <v>128</v>
      </c>
      <c r="H62" s="184" t="s">
        <v>48</v>
      </c>
      <c r="I62" s="194"/>
      <c r="J62" s="189"/>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C24C-B716-43CB-A013-71C059897176}">
  <dimension ref="A1:M30"/>
  <sheetViews>
    <sheetView workbookViewId="0">
      <selection activeCell="E8" sqref="E8"/>
    </sheetView>
  </sheetViews>
  <sheetFormatPr defaultColWidth="9.140625" defaultRowHeight="12.75" x14ac:dyDescent="0.2"/>
  <cols>
    <col min="1" max="1" width="22.28515625" style="38" bestFit="1" customWidth="1"/>
    <col min="2" max="2" width="31" style="38" customWidth="1"/>
    <col min="3" max="3" width="32.5703125" style="38" bestFit="1" customWidth="1"/>
    <col min="4" max="4" width="26.42578125" style="38" customWidth="1"/>
    <col min="5" max="6" width="31" style="38" customWidth="1"/>
    <col min="7" max="7" width="26.28515625" style="38" bestFit="1" customWidth="1"/>
    <col min="8" max="8" width="29.28515625" style="38" bestFit="1" customWidth="1"/>
    <col min="9" max="9" width="34.85546875" style="38" customWidth="1"/>
    <col min="10" max="10" width="31.7109375" style="38" customWidth="1"/>
    <col min="11" max="11" width="27" style="38" customWidth="1"/>
    <col min="12" max="12" width="34.7109375" style="38" customWidth="1"/>
    <col min="13" max="13" width="29" style="38" customWidth="1"/>
    <col min="14" max="16384" width="9.140625" style="38"/>
  </cols>
  <sheetData>
    <row r="1" spans="1:13" x14ac:dyDescent="0.2">
      <c r="A1" s="613"/>
      <c r="B1" s="613"/>
      <c r="C1" s="613"/>
      <c r="D1" s="613"/>
      <c r="E1" s="245"/>
      <c r="F1" s="245"/>
      <c r="G1" s="245"/>
      <c r="H1" s="245"/>
    </row>
    <row r="2" spans="1:13" x14ac:dyDescent="0.2">
      <c r="A2" s="244"/>
      <c r="B2" s="245"/>
      <c r="C2" s="244"/>
      <c r="D2" s="245"/>
      <c r="E2" s="245"/>
      <c r="F2" s="245"/>
      <c r="G2" s="245"/>
      <c r="H2" s="245"/>
    </row>
    <row r="3" spans="1:13" x14ac:dyDescent="0.2">
      <c r="A3" s="244"/>
      <c r="B3" s="245"/>
      <c r="C3" s="244"/>
      <c r="D3" s="245"/>
      <c r="E3" s="245"/>
      <c r="F3" s="245"/>
      <c r="G3" s="245"/>
      <c r="H3" s="245"/>
    </row>
    <row r="4" spans="1:13" x14ac:dyDescent="0.2">
      <c r="A4" s="244"/>
      <c r="B4" s="245"/>
      <c r="C4" s="244"/>
      <c r="D4" s="245"/>
      <c r="E4" s="245"/>
      <c r="F4" s="245"/>
      <c r="G4" s="245"/>
      <c r="H4" s="245"/>
    </row>
    <row r="5" spans="1:13" x14ac:dyDescent="0.2">
      <c r="A5" s="244"/>
      <c r="B5" s="245"/>
      <c r="C5" s="244"/>
      <c r="D5" s="244"/>
      <c r="E5" s="245"/>
      <c r="F5" s="245"/>
      <c r="G5" s="245"/>
      <c r="H5" s="245"/>
    </row>
    <row r="6" spans="1:13" x14ac:dyDescent="0.2">
      <c r="A6" s="244"/>
      <c r="B6" s="245"/>
      <c r="C6" s="244"/>
      <c r="D6" s="245"/>
      <c r="E6" s="245"/>
      <c r="F6" s="245"/>
      <c r="G6" s="245"/>
      <c r="H6" s="245"/>
    </row>
    <row r="7" spans="1:13" x14ac:dyDescent="0.2">
      <c r="A7" s="244"/>
      <c r="B7" s="245"/>
      <c r="C7" s="244"/>
      <c r="D7" s="245"/>
      <c r="E7" s="245"/>
      <c r="F7" s="245"/>
      <c r="G7" s="245"/>
      <c r="H7" s="245"/>
    </row>
    <row r="8" spans="1:13" x14ac:dyDescent="0.2">
      <c r="A8" s="244" t="s">
        <v>380</v>
      </c>
      <c r="B8" s="245" t="s">
        <v>381</v>
      </c>
      <c r="C8" s="244" t="s">
        <v>382</v>
      </c>
      <c r="D8" s="246">
        <v>45916</v>
      </c>
      <c r="E8" s="245"/>
      <c r="F8" s="245"/>
      <c r="G8" s="245"/>
      <c r="H8" s="245"/>
    </row>
    <row r="9" spans="1:13" ht="13.5" thickBot="1" x14ac:dyDescent="0.25">
      <c r="A9" s="245"/>
      <c r="B9" s="245"/>
      <c r="C9" s="245"/>
      <c r="D9" s="245"/>
      <c r="E9" s="245"/>
      <c r="F9" s="245"/>
      <c r="G9" s="245"/>
      <c r="H9" s="245"/>
    </row>
    <row r="10" spans="1:13" ht="13.5" thickBot="1" x14ac:dyDescent="0.25">
      <c r="A10" s="614" t="s">
        <v>383</v>
      </c>
      <c r="B10" s="615"/>
      <c r="C10" s="615"/>
      <c r="D10" s="615"/>
      <c r="E10" s="615"/>
      <c r="F10" s="615"/>
      <c r="G10" s="615"/>
      <c r="H10" s="616"/>
      <c r="I10" s="617" t="s">
        <v>384</v>
      </c>
      <c r="J10" s="618"/>
      <c r="K10" s="618"/>
      <c r="L10" s="618"/>
      <c r="M10" s="619"/>
    </row>
    <row r="11" spans="1:13" ht="25.5" x14ac:dyDescent="0.2">
      <c r="A11" s="247" t="s">
        <v>385</v>
      </c>
      <c r="B11" s="247" t="s">
        <v>386</v>
      </c>
      <c r="C11" s="247" t="s">
        <v>387</v>
      </c>
      <c r="D11" s="248" t="s">
        <v>388</v>
      </c>
      <c r="E11" s="248" t="s">
        <v>389</v>
      </c>
      <c r="F11" s="248" t="s">
        <v>390</v>
      </c>
      <c r="G11" s="248" t="s">
        <v>391</v>
      </c>
      <c r="H11" s="248" t="s">
        <v>392</v>
      </c>
      <c r="I11" s="248" t="s">
        <v>393</v>
      </c>
      <c r="J11" s="248" t="s">
        <v>394</v>
      </c>
      <c r="K11" s="248" t="s">
        <v>395</v>
      </c>
      <c r="L11" s="248" t="s">
        <v>396</v>
      </c>
      <c r="M11" s="248" t="s">
        <v>397</v>
      </c>
    </row>
    <row r="12" spans="1:13" ht="51" x14ac:dyDescent="0.2">
      <c r="A12" s="249" t="s">
        <v>398</v>
      </c>
      <c r="B12" s="250" t="s">
        <v>399</v>
      </c>
      <c r="C12" s="250" t="s">
        <v>400</v>
      </c>
      <c r="D12" s="250" t="s">
        <v>401</v>
      </c>
      <c r="E12" s="250" t="s">
        <v>402</v>
      </c>
      <c r="F12" s="250" t="s">
        <v>403</v>
      </c>
      <c r="G12" s="250" t="s">
        <v>404</v>
      </c>
      <c r="H12" s="250" t="s">
        <v>405</v>
      </c>
      <c r="I12" s="250" t="s">
        <v>406</v>
      </c>
      <c r="J12" s="250" t="s">
        <v>407</v>
      </c>
      <c r="K12" s="250" t="s">
        <v>408</v>
      </c>
      <c r="L12" s="250" t="s">
        <v>409</v>
      </c>
      <c r="M12" s="250"/>
    </row>
    <row r="13" spans="1:13" ht="38.25" x14ac:dyDescent="0.2">
      <c r="A13" s="249" t="s">
        <v>410</v>
      </c>
      <c r="B13" s="250" t="s">
        <v>411</v>
      </c>
      <c r="C13" s="250" t="s">
        <v>412</v>
      </c>
      <c r="D13" s="250" t="s">
        <v>413</v>
      </c>
      <c r="E13" s="250" t="s">
        <v>414</v>
      </c>
      <c r="F13" s="250" t="s">
        <v>415</v>
      </c>
      <c r="G13" s="250" t="s">
        <v>416</v>
      </c>
      <c r="H13" s="250" t="s">
        <v>417</v>
      </c>
      <c r="I13" s="250" t="s">
        <v>418</v>
      </c>
      <c r="J13" s="250" t="s">
        <v>419</v>
      </c>
      <c r="K13" s="250" t="s">
        <v>420</v>
      </c>
      <c r="L13" s="250" t="s">
        <v>421</v>
      </c>
      <c r="M13" s="250" t="s">
        <v>422</v>
      </c>
    </row>
    <row r="14" spans="1:13" ht="38.25" x14ac:dyDescent="0.2">
      <c r="A14" s="249" t="s">
        <v>423</v>
      </c>
      <c r="B14" s="250" t="s">
        <v>424</v>
      </c>
      <c r="C14" s="250" t="s">
        <v>425</v>
      </c>
      <c r="D14" s="250" t="s">
        <v>426</v>
      </c>
      <c r="E14" s="250" t="s">
        <v>427</v>
      </c>
      <c r="F14" s="250" t="s">
        <v>428</v>
      </c>
      <c r="G14" s="250" t="s">
        <v>429</v>
      </c>
      <c r="H14" s="250" t="s">
        <v>430</v>
      </c>
      <c r="I14" s="250" t="s">
        <v>431</v>
      </c>
      <c r="J14" s="250" t="s">
        <v>432</v>
      </c>
      <c r="K14" s="250" t="s">
        <v>433</v>
      </c>
      <c r="L14" s="250" t="s">
        <v>421</v>
      </c>
      <c r="M14" s="250" t="s">
        <v>434</v>
      </c>
    </row>
    <row r="15" spans="1:13" ht="51" x14ac:dyDescent="0.2">
      <c r="A15" s="249" t="s">
        <v>435</v>
      </c>
      <c r="B15" s="250" t="s">
        <v>436</v>
      </c>
      <c r="C15" s="250" t="s">
        <v>437</v>
      </c>
      <c r="D15" s="250" t="s">
        <v>438</v>
      </c>
      <c r="E15" s="250" t="s">
        <v>439</v>
      </c>
      <c r="F15" s="250" t="s">
        <v>440</v>
      </c>
      <c r="G15" s="250" t="s">
        <v>441</v>
      </c>
      <c r="H15" s="250"/>
      <c r="I15" s="250" t="s">
        <v>442</v>
      </c>
      <c r="J15" s="250" t="s">
        <v>443</v>
      </c>
      <c r="K15" s="250" t="s">
        <v>444</v>
      </c>
      <c r="L15" s="250" t="s">
        <v>445</v>
      </c>
      <c r="M15" s="250" t="s">
        <v>446</v>
      </c>
    </row>
    <row r="16" spans="1:13" ht="38.25" x14ac:dyDescent="0.2">
      <c r="A16" s="249" t="s">
        <v>447</v>
      </c>
      <c r="B16" s="250" t="s">
        <v>448</v>
      </c>
      <c r="C16" s="250" t="s">
        <v>449</v>
      </c>
      <c r="D16" s="250" t="s">
        <v>450</v>
      </c>
      <c r="E16" s="250" t="s">
        <v>451</v>
      </c>
      <c r="F16" s="250" t="s">
        <v>452</v>
      </c>
      <c r="G16" s="250" t="s">
        <v>453</v>
      </c>
      <c r="H16" s="250" t="s">
        <v>454</v>
      </c>
      <c r="I16" s="250" t="s">
        <v>455</v>
      </c>
      <c r="J16" s="250" t="s">
        <v>456</v>
      </c>
      <c r="K16" s="250" t="s">
        <v>457</v>
      </c>
      <c r="L16" s="250" t="s">
        <v>458</v>
      </c>
      <c r="M16" s="250" t="s">
        <v>459</v>
      </c>
    </row>
    <row r="17" spans="1:8" x14ac:dyDescent="0.2">
      <c r="A17" s="245"/>
      <c r="B17" s="245"/>
      <c r="C17" s="245"/>
      <c r="D17" s="245"/>
      <c r="E17" s="245"/>
      <c r="F17" s="245"/>
      <c r="G17" s="245"/>
      <c r="H17" s="245"/>
    </row>
    <row r="18" spans="1:8" x14ac:dyDescent="0.2">
      <c r="A18" s="245"/>
      <c r="B18" s="245"/>
      <c r="C18" s="245"/>
      <c r="D18" s="245"/>
      <c r="E18" s="245"/>
      <c r="F18" s="245"/>
      <c r="G18" s="245"/>
      <c r="H18" s="245"/>
    </row>
    <row r="19" spans="1:8" x14ac:dyDescent="0.2">
      <c r="A19" s="245"/>
      <c r="B19" s="245"/>
      <c r="C19" s="245"/>
      <c r="D19" s="245"/>
      <c r="E19" s="245"/>
      <c r="F19" s="245"/>
      <c r="G19" s="245"/>
      <c r="H19" s="245"/>
    </row>
    <row r="20" spans="1:8" x14ac:dyDescent="0.2">
      <c r="A20" s="245"/>
      <c r="B20" s="245"/>
      <c r="C20" s="245"/>
      <c r="D20" s="245"/>
      <c r="E20" s="245"/>
      <c r="F20" s="245"/>
      <c r="G20" s="245"/>
      <c r="H20" s="245"/>
    </row>
    <row r="21" spans="1:8" x14ac:dyDescent="0.2">
      <c r="A21" s="245"/>
      <c r="B21" s="245"/>
      <c r="C21" s="245"/>
      <c r="D21" s="245"/>
      <c r="E21" s="245"/>
      <c r="F21" s="245"/>
      <c r="G21" s="245"/>
      <c r="H21" s="245"/>
    </row>
    <row r="22" spans="1:8" x14ac:dyDescent="0.2">
      <c r="A22" s="245"/>
      <c r="B22" s="245"/>
      <c r="C22" s="245"/>
      <c r="D22" s="245"/>
      <c r="E22" s="245"/>
      <c r="F22" s="245"/>
      <c r="G22" s="245"/>
      <c r="H22" s="245"/>
    </row>
    <row r="23" spans="1:8" x14ac:dyDescent="0.2">
      <c r="A23" s="245"/>
      <c r="B23" s="245"/>
      <c r="C23" s="245"/>
      <c r="D23" s="245"/>
      <c r="E23" s="245"/>
      <c r="F23" s="245"/>
      <c r="G23" s="245"/>
      <c r="H23" s="245"/>
    </row>
    <row r="24" spans="1:8" x14ac:dyDescent="0.2">
      <c r="A24" s="245"/>
      <c r="B24" s="245"/>
      <c r="C24" s="245"/>
      <c r="D24" s="245"/>
      <c r="E24" s="245"/>
      <c r="F24" s="245"/>
      <c r="G24" s="245"/>
      <c r="H24" s="245"/>
    </row>
    <row r="25" spans="1:8" x14ac:dyDescent="0.2">
      <c r="A25" s="245"/>
      <c r="B25" s="245"/>
      <c r="C25" s="245"/>
      <c r="D25" s="245"/>
      <c r="E25" s="245"/>
      <c r="F25" s="245"/>
      <c r="G25" s="245"/>
      <c r="H25" s="245"/>
    </row>
    <row r="26" spans="1:8" x14ac:dyDescent="0.2">
      <c r="A26" s="245"/>
      <c r="B26" s="245"/>
      <c r="C26" s="245"/>
      <c r="D26" s="245"/>
      <c r="E26" s="245"/>
      <c r="F26" s="245"/>
      <c r="G26" s="245"/>
      <c r="H26" s="245"/>
    </row>
    <row r="27" spans="1:8" x14ac:dyDescent="0.2">
      <c r="A27" s="245"/>
      <c r="B27" s="245"/>
      <c r="C27" s="245"/>
      <c r="D27" s="245"/>
      <c r="E27" s="245"/>
      <c r="F27" s="245"/>
      <c r="G27" s="245"/>
      <c r="H27" s="245"/>
    </row>
    <row r="28" spans="1:8" x14ac:dyDescent="0.2">
      <c r="A28" s="245"/>
      <c r="B28" s="245"/>
      <c r="C28" s="245"/>
      <c r="D28" s="245"/>
      <c r="E28" s="245"/>
      <c r="F28" s="245"/>
      <c r="G28" s="245"/>
      <c r="H28" s="245"/>
    </row>
    <row r="29" spans="1:8" x14ac:dyDescent="0.2">
      <c r="A29" s="245"/>
      <c r="B29" s="245"/>
      <c r="C29" s="245"/>
      <c r="D29" s="245"/>
      <c r="E29" s="245"/>
      <c r="F29" s="245"/>
      <c r="G29" s="245"/>
      <c r="H29" s="245"/>
    </row>
    <row r="30" spans="1:8" x14ac:dyDescent="0.2">
      <c r="A30" s="245"/>
      <c r="B30" s="245"/>
      <c r="C30" s="245"/>
      <c r="D30" s="245"/>
      <c r="E30" s="245"/>
      <c r="F30" s="245"/>
      <c r="G30" s="245"/>
      <c r="H30" s="245"/>
    </row>
  </sheetData>
  <mergeCells count="3">
    <mergeCell ref="A1:D1"/>
    <mergeCell ref="A10:H10"/>
    <mergeCell ref="I10:M10"/>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15A8-D6D9-4CBC-A932-E780C6BE232A}">
  <dimension ref="C2:F57"/>
  <sheetViews>
    <sheetView showGridLines="0" topLeftCell="A55" zoomScaleNormal="100" workbookViewId="0">
      <selection activeCell="H63" sqref="H63"/>
    </sheetView>
  </sheetViews>
  <sheetFormatPr defaultRowHeight="12.75" x14ac:dyDescent="0.2"/>
  <cols>
    <col min="4" max="4" width="69.7109375" bestFit="1" customWidth="1"/>
    <col min="6" max="6" width="8.28515625" bestFit="1" customWidth="1"/>
  </cols>
  <sheetData>
    <row r="2" spans="3:6" ht="13.5" thickBot="1" x14ac:dyDescent="0.25"/>
    <row r="3" spans="3:6" ht="48.75" thickBot="1" x14ac:dyDescent="0.25">
      <c r="C3" s="281" t="s">
        <v>0</v>
      </c>
      <c r="D3" s="282" t="s">
        <v>51</v>
      </c>
      <c r="E3" s="282" t="s">
        <v>2</v>
      </c>
      <c r="F3" s="282" t="s">
        <v>28</v>
      </c>
    </row>
    <row r="4" spans="3:6" ht="13.15" customHeight="1" x14ac:dyDescent="0.2">
      <c r="C4" s="588" t="s">
        <v>304</v>
      </c>
      <c r="D4" s="288" t="s">
        <v>252</v>
      </c>
      <c r="E4" s="599"/>
      <c r="F4" s="604">
        <v>1</v>
      </c>
    </row>
    <row r="5" spans="3:6" ht="13.15" customHeight="1" x14ac:dyDescent="0.2">
      <c r="C5" s="587" t="s">
        <v>308</v>
      </c>
      <c r="D5" s="289" t="s">
        <v>253</v>
      </c>
      <c r="E5" s="576" t="s">
        <v>304</v>
      </c>
      <c r="F5" s="604">
        <v>1</v>
      </c>
    </row>
    <row r="6" spans="3:6" ht="13.15" customHeight="1" x14ac:dyDescent="0.2">
      <c r="C6" s="586" t="s">
        <v>306</v>
      </c>
      <c r="D6" s="290" t="s">
        <v>254</v>
      </c>
      <c r="E6" s="576" t="s">
        <v>304</v>
      </c>
      <c r="F6" s="604">
        <v>1</v>
      </c>
    </row>
    <row r="7" spans="3:6" ht="13.15" customHeight="1" x14ac:dyDescent="0.2">
      <c r="C7" s="287" t="s">
        <v>472</v>
      </c>
      <c r="D7" s="289" t="s">
        <v>255</v>
      </c>
      <c r="E7" s="576" t="s">
        <v>304</v>
      </c>
      <c r="F7" s="603">
        <v>1</v>
      </c>
    </row>
    <row r="8" spans="3:6" ht="13.15" customHeight="1" x14ac:dyDescent="0.2">
      <c r="C8" s="601" t="s">
        <v>309</v>
      </c>
      <c r="D8" s="270" t="s">
        <v>195</v>
      </c>
      <c r="E8" s="599" t="s">
        <v>304</v>
      </c>
      <c r="F8" s="603">
        <v>2</v>
      </c>
    </row>
    <row r="9" spans="3:6" ht="13.15" customHeight="1" x14ac:dyDescent="0.2">
      <c r="C9" s="601" t="s">
        <v>305</v>
      </c>
      <c r="D9" s="270" t="s">
        <v>256</v>
      </c>
      <c r="E9" s="597" t="s">
        <v>309</v>
      </c>
      <c r="F9" s="603">
        <v>2</v>
      </c>
    </row>
    <row r="10" spans="3:6" ht="13.15" customHeight="1" x14ac:dyDescent="0.2">
      <c r="C10" s="601" t="s">
        <v>310</v>
      </c>
      <c r="D10" s="270" t="s">
        <v>257</v>
      </c>
      <c r="E10" s="597" t="s">
        <v>309</v>
      </c>
      <c r="F10" s="603">
        <v>2</v>
      </c>
    </row>
    <row r="11" spans="3:6" ht="13.15" customHeight="1" x14ac:dyDescent="0.2">
      <c r="C11" s="601" t="s">
        <v>311</v>
      </c>
      <c r="D11" s="270" t="s">
        <v>197</v>
      </c>
      <c r="E11" s="594" t="s">
        <v>309</v>
      </c>
      <c r="F11" s="602">
        <v>2</v>
      </c>
    </row>
    <row r="12" spans="3:6" ht="13.15" customHeight="1" x14ac:dyDescent="0.2">
      <c r="C12" s="601" t="s">
        <v>312</v>
      </c>
      <c r="D12" s="270" t="s">
        <v>258</v>
      </c>
      <c r="E12" s="594" t="s">
        <v>375</v>
      </c>
      <c r="F12" s="582">
        <v>1</v>
      </c>
    </row>
    <row r="13" spans="3:6" ht="13.15" customHeight="1" x14ac:dyDescent="0.2">
      <c r="C13" s="601" t="s">
        <v>313</v>
      </c>
      <c r="D13" s="270" t="s">
        <v>259</v>
      </c>
      <c r="E13" s="594" t="s">
        <v>375</v>
      </c>
      <c r="F13" s="582">
        <v>1</v>
      </c>
    </row>
    <row r="14" spans="3:6" ht="13.15" customHeight="1" x14ac:dyDescent="0.2">
      <c r="C14" s="601" t="s">
        <v>314</v>
      </c>
      <c r="D14" s="270" t="s">
        <v>199</v>
      </c>
      <c r="E14" s="600" t="s">
        <v>375</v>
      </c>
      <c r="F14" s="582">
        <v>1</v>
      </c>
    </row>
    <row r="15" spans="3:6" ht="13.15" customHeight="1" x14ac:dyDescent="0.2">
      <c r="C15" s="598" t="s">
        <v>315</v>
      </c>
      <c r="D15" s="271" t="s">
        <v>260</v>
      </c>
      <c r="E15" s="599" t="s">
        <v>309</v>
      </c>
      <c r="F15" s="582">
        <v>1</v>
      </c>
    </row>
    <row r="16" spans="3:6" ht="13.15" customHeight="1" x14ac:dyDescent="0.2">
      <c r="C16" s="598" t="s">
        <v>316</v>
      </c>
      <c r="D16" s="271" t="s">
        <v>261</v>
      </c>
      <c r="E16" s="597" t="s">
        <v>315</v>
      </c>
      <c r="F16" s="582">
        <v>1</v>
      </c>
    </row>
    <row r="17" spans="3:6" ht="13.15" customHeight="1" x14ac:dyDescent="0.2">
      <c r="C17" s="596" t="s">
        <v>317</v>
      </c>
      <c r="D17" s="271" t="s">
        <v>262</v>
      </c>
      <c r="E17" s="594" t="s">
        <v>315</v>
      </c>
      <c r="F17" s="582">
        <v>1</v>
      </c>
    </row>
    <row r="18" spans="3:6" ht="13.15" customHeight="1" x14ac:dyDescent="0.2">
      <c r="C18" s="596" t="s">
        <v>318</v>
      </c>
      <c r="D18" s="271" t="s">
        <v>263</v>
      </c>
      <c r="E18" s="594" t="s">
        <v>315</v>
      </c>
      <c r="F18" s="582">
        <v>1</v>
      </c>
    </row>
    <row r="19" spans="3:6" ht="13.15" customHeight="1" x14ac:dyDescent="0.2">
      <c r="C19" s="596" t="s">
        <v>319</v>
      </c>
      <c r="D19" s="271" t="s">
        <v>264</v>
      </c>
      <c r="E19" s="594" t="s">
        <v>318</v>
      </c>
      <c r="F19" s="582">
        <v>1</v>
      </c>
    </row>
    <row r="20" spans="3:6" ht="13.15" customHeight="1" x14ac:dyDescent="0.2">
      <c r="C20" s="596" t="s">
        <v>320</v>
      </c>
      <c r="D20" s="271" t="s">
        <v>265</v>
      </c>
      <c r="E20" s="594" t="s">
        <v>318</v>
      </c>
      <c r="F20" s="582">
        <v>1</v>
      </c>
    </row>
    <row r="21" spans="3:6" ht="13.15" customHeight="1" x14ac:dyDescent="0.2">
      <c r="C21" s="596" t="s">
        <v>321</v>
      </c>
      <c r="D21" s="271" t="s">
        <v>266</v>
      </c>
      <c r="E21" s="594" t="s">
        <v>320</v>
      </c>
      <c r="F21" s="582">
        <v>1</v>
      </c>
    </row>
    <row r="22" spans="3:6" ht="13.15" customHeight="1" x14ac:dyDescent="0.2">
      <c r="C22" s="595" t="s">
        <v>325</v>
      </c>
      <c r="D22" s="272" t="s">
        <v>210</v>
      </c>
      <c r="E22" s="576" t="s">
        <v>309</v>
      </c>
      <c r="F22" s="582">
        <v>3</v>
      </c>
    </row>
    <row r="23" spans="3:6" ht="13.15" customHeight="1" x14ac:dyDescent="0.2">
      <c r="C23" s="595" t="s">
        <v>326</v>
      </c>
      <c r="D23" s="272" t="s">
        <v>267</v>
      </c>
      <c r="E23" s="576" t="s">
        <v>325</v>
      </c>
      <c r="F23" s="582">
        <v>3</v>
      </c>
    </row>
    <row r="24" spans="3:6" ht="13.15" customHeight="1" x14ac:dyDescent="0.2">
      <c r="C24" s="595" t="s">
        <v>327</v>
      </c>
      <c r="D24" s="272" t="s">
        <v>268</v>
      </c>
      <c r="E24" s="576" t="s">
        <v>326</v>
      </c>
      <c r="F24" s="582">
        <v>3</v>
      </c>
    </row>
    <row r="25" spans="3:6" ht="13.15" customHeight="1" x14ac:dyDescent="0.2">
      <c r="C25" s="593" t="s">
        <v>328</v>
      </c>
      <c r="D25" s="273" t="s">
        <v>269</v>
      </c>
      <c r="E25" s="594" t="s">
        <v>321</v>
      </c>
      <c r="F25" s="582">
        <v>3</v>
      </c>
    </row>
    <row r="26" spans="3:6" ht="13.15" customHeight="1" x14ac:dyDescent="0.2">
      <c r="C26" s="593" t="s">
        <v>329</v>
      </c>
      <c r="D26" s="274" t="s">
        <v>270</v>
      </c>
      <c r="E26" s="576" t="s">
        <v>328</v>
      </c>
      <c r="F26" s="582">
        <v>3</v>
      </c>
    </row>
    <row r="27" spans="3:6" ht="13.15" customHeight="1" x14ac:dyDescent="0.2">
      <c r="C27" s="593" t="s">
        <v>330</v>
      </c>
      <c r="D27" s="273" t="s">
        <v>271</v>
      </c>
      <c r="E27" s="576" t="s">
        <v>328</v>
      </c>
      <c r="F27" s="582">
        <v>3</v>
      </c>
    </row>
    <row r="28" spans="3:6" ht="13.15" customHeight="1" x14ac:dyDescent="0.2">
      <c r="C28" s="593" t="s">
        <v>331</v>
      </c>
      <c r="D28" s="273" t="s">
        <v>272</v>
      </c>
      <c r="E28" s="576" t="s">
        <v>328</v>
      </c>
      <c r="F28" s="582">
        <v>3</v>
      </c>
    </row>
    <row r="29" spans="3:6" ht="13.15" customHeight="1" x14ac:dyDescent="0.2">
      <c r="C29" s="592" t="s">
        <v>332</v>
      </c>
      <c r="D29" s="275" t="s">
        <v>273</v>
      </c>
      <c r="E29" s="576" t="s">
        <v>477</v>
      </c>
      <c r="F29" s="582">
        <v>3</v>
      </c>
    </row>
    <row r="30" spans="3:6" ht="13.15" customHeight="1" x14ac:dyDescent="0.2">
      <c r="C30" s="592" t="s">
        <v>333</v>
      </c>
      <c r="D30" s="275" t="s">
        <v>274</v>
      </c>
      <c r="E30" s="576" t="s">
        <v>332</v>
      </c>
      <c r="F30" s="582">
        <v>3</v>
      </c>
    </row>
    <row r="31" spans="3:6" ht="13.15" customHeight="1" x14ac:dyDescent="0.2">
      <c r="C31" s="592" t="s">
        <v>334</v>
      </c>
      <c r="D31" s="275" t="s">
        <v>275</v>
      </c>
      <c r="E31" s="576" t="s">
        <v>333</v>
      </c>
      <c r="F31" s="582">
        <v>3</v>
      </c>
    </row>
    <row r="32" spans="3:6" ht="13.15" customHeight="1" x14ac:dyDescent="0.2">
      <c r="C32" s="592" t="s">
        <v>335</v>
      </c>
      <c r="D32" s="276" t="s">
        <v>276</v>
      </c>
      <c r="E32" s="576" t="s">
        <v>334</v>
      </c>
      <c r="F32" s="582">
        <v>3</v>
      </c>
    </row>
    <row r="33" spans="3:6" ht="13.15" customHeight="1" x14ac:dyDescent="0.2">
      <c r="C33" s="591" t="s">
        <v>336</v>
      </c>
      <c r="D33" s="275" t="s">
        <v>277</v>
      </c>
      <c r="E33" s="576" t="s">
        <v>335</v>
      </c>
      <c r="F33" s="582">
        <v>3</v>
      </c>
    </row>
    <row r="34" spans="3:6" ht="13.15" customHeight="1" x14ac:dyDescent="0.2">
      <c r="C34" s="590" t="s">
        <v>337</v>
      </c>
      <c r="D34" s="277" t="s">
        <v>278</v>
      </c>
      <c r="E34" s="576" t="s">
        <v>328</v>
      </c>
      <c r="F34" s="582">
        <v>3</v>
      </c>
    </row>
    <row r="35" spans="3:6" ht="13.15" customHeight="1" x14ac:dyDescent="0.2">
      <c r="C35" s="590" t="s">
        <v>338</v>
      </c>
      <c r="D35" s="277" t="s">
        <v>279</v>
      </c>
      <c r="E35" s="576" t="s">
        <v>337</v>
      </c>
      <c r="F35" s="582">
        <v>3</v>
      </c>
    </row>
    <row r="36" spans="3:6" ht="13.15" customHeight="1" x14ac:dyDescent="0.2">
      <c r="C36" s="590" t="s">
        <v>339</v>
      </c>
      <c r="D36" s="277" t="s">
        <v>280</v>
      </c>
      <c r="E36" s="576" t="s">
        <v>338</v>
      </c>
      <c r="F36" s="582">
        <v>3</v>
      </c>
    </row>
    <row r="37" spans="3:6" ht="13.15" customHeight="1" x14ac:dyDescent="0.2">
      <c r="C37" s="590" t="s">
        <v>340</v>
      </c>
      <c r="D37" s="277" t="s">
        <v>281</v>
      </c>
      <c r="E37" s="576" t="s">
        <v>342</v>
      </c>
      <c r="F37" s="582">
        <v>3</v>
      </c>
    </row>
    <row r="38" spans="3:6" ht="13.15" customHeight="1" x14ac:dyDescent="0.2">
      <c r="C38" s="590" t="s">
        <v>341</v>
      </c>
      <c r="D38" s="277" t="s">
        <v>282</v>
      </c>
      <c r="E38" s="576" t="s">
        <v>340</v>
      </c>
      <c r="F38" s="582">
        <v>3</v>
      </c>
    </row>
    <row r="39" spans="3:6" ht="13.15" customHeight="1" x14ac:dyDescent="0.2">
      <c r="C39" s="589" t="s">
        <v>342</v>
      </c>
      <c r="D39" s="277" t="s">
        <v>283</v>
      </c>
      <c r="E39" s="576" t="s">
        <v>341</v>
      </c>
      <c r="F39" s="582">
        <v>3</v>
      </c>
    </row>
    <row r="40" spans="3:6" ht="13.15" customHeight="1" x14ac:dyDescent="0.2">
      <c r="C40" s="588" t="s">
        <v>348</v>
      </c>
      <c r="D40" s="278" t="s">
        <v>284</v>
      </c>
      <c r="E40" s="576" t="s">
        <v>478</v>
      </c>
      <c r="F40" s="582">
        <v>3</v>
      </c>
    </row>
    <row r="41" spans="3:6" ht="13.15" customHeight="1" x14ac:dyDescent="0.2">
      <c r="C41" s="587" t="s">
        <v>349</v>
      </c>
      <c r="D41" s="278" t="s">
        <v>240</v>
      </c>
      <c r="E41" s="576" t="s">
        <v>348</v>
      </c>
      <c r="F41" s="582">
        <v>3</v>
      </c>
    </row>
    <row r="42" spans="3:6" ht="13.15" customHeight="1" x14ac:dyDescent="0.2">
      <c r="C42" s="586" t="s">
        <v>350</v>
      </c>
      <c r="D42" s="278" t="s">
        <v>285</v>
      </c>
      <c r="E42" s="576" t="s">
        <v>349</v>
      </c>
      <c r="F42" s="582">
        <v>3</v>
      </c>
    </row>
    <row r="43" spans="3:6" ht="13.15" customHeight="1" x14ac:dyDescent="0.2">
      <c r="C43" s="585" t="s">
        <v>473</v>
      </c>
      <c r="D43" s="278" t="s">
        <v>286</v>
      </c>
      <c r="E43" s="583" t="s">
        <v>479</v>
      </c>
      <c r="F43" s="582">
        <v>3</v>
      </c>
    </row>
    <row r="44" spans="3:6" ht="13.15" customHeight="1" x14ac:dyDescent="0.2">
      <c r="C44" s="585" t="s">
        <v>474</v>
      </c>
      <c r="D44" s="278" t="s">
        <v>287</v>
      </c>
      <c r="E44" s="583" t="s">
        <v>473</v>
      </c>
      <c r="F44" s="582">
        <v>3</v>
      </c>
    </row>
    <row r="45" spans="3:6" ht="13.15" customHeight="1" x14ac:dyDescent="0.2">
      <c r="C45" s="581" t="s">
        <v>351</v>
      </c>
      <c r="D45" s="279" t="s">
        <v>288</v>
      </c>
      <c r="E45" s="583" t="s">
        <v>474</v>
      </c>
      <c r="F45" s="582">
        <v>3</v>
      </c>
    </row>
    <row r="46" spans="3:6" ht="13.15" customHeight="1" x14ac:dyDescent="0.2">
      <c r="C46" s="584" t="s">
        <v>352</v>
      </c>
      <c r="D46" s="279" t="s">
        <v>289</v>
      </c>
      <c r="E46" s="583" t="s">
        <v>351</v>
      </c>
      <c r="F46" s="582">
        <v>3</v>
      </c>
    </row>
    <row r="47" spans="3:6" ht="13.15" customHeight="1" x14ac:dyDescent="0.2">
      <c r="C47" s="584" t="s">
        <v>353</v>
      </c>
      <c r="D47" s="279" t="s">
        <v>290</v>
      </c>
      <c r="E47" s="583" t="s">
        <v>352</v>
      </c>
      <c r="F47" s="582">
        <v>3</v>
      </c>
    </row>
    <row r="48" spans="3:6" ht="13.15" customHeight="1" x14ac:dyDescent="0.2">
      <c r="C48" s="584" t="s">
        <v>354</v>
      </c>
      <c r="D48" s="279" t="s">
        <v>291</v>
      </c>
      <c r="E48" s="583" t="s">
        <v>353</v>
      </c>
      <c r="F48" s="582">
        <v>3</v>
      </c>
    </row>
    <row r="49" spans="3:6" ht="13.15" customHeight="1" x14ac:dyDescent="0.2">
      <c r="C49" s="581" t="s">
        <v>355</v>
      </c>
      <c r="D49" s="279" t="s">
        <v>292</v>
      </c>
      <c r="E49" s="577" t="s">
        <v>354</v>
      </c>
      <c r="F49" s="576">
        <v>1</v>
      </c>
    </row>
    <row r="50" spans="3:6" ht="13.15" customHeight="1" x14ac:dyDescent="0.2">
      <c r="C50" s="581" t="s">
        <v>356</v>
      </c>
      <c r="D50" s="279" t="s">
        <v>293</v>
      </c>
      <c r="E50" s="577" t="s">
        <v>355</v>
      </c>
      <c r="F50" s="576">
        <v>1</v>
      </c>
    </row>
    <row r="51" spans="3:6" ht="13.15" customHeight="1" x14ac:dyDescent="0.2">
      <c r="C51" s="581" t="s">
        <v>357</v>
      </c>
      <c r="D51" s="279" t="s">
        <v>294</v>
      </c>
      <c r="E51" s="577" t="s">
        <v>356</v>
      </c>
      <c r="F51" s="576">
        <v>1</v>
      </c>
    </row>
    <row r="52" spans="3:6" ht="13.15" customHeight="1" x14ac:dyDescent="0.2">
      <c r="C52" s="580" t="s">
        <v>363</v>
      </c>
      <c r="D52" s="280" t="s">
        <v>295</v>
      </c>
      <c r="E52" s="577" t="s">
        <v>357</v>
      </c>
      <c r="F52" s="576">
        <v>1</v>
      </c>
    </row>
    <row r="53" spans="3:6" ht="13.15" customHeight="1" x14ac:dyDescent="0.2">
      <c r="C53" s="579" t="s">
        <v>364</v>
      </c>
      <c r="D53" s="280" t="s">
        <v>296</v>
      </c>
      <c r="E53" s="577" t="s">
        <v>363</v>
      </c>
      <c r="F53" s="576">
        <v>1</v>
      </c>
    </row>
    <row r="54" spans="3:6" ht="13.15" customHeight="1" x14ac:dyDescent="0.2">
      <c r="C54" s="579" t="s">
        <v>365</v>
      </c>
      <c r="D54" s="280" t="s">
        <v>297</v>
      </c>
      <c r="E54" s="577" t="s">
        <v>364</v>
      </c>
      <c r="F54" s="576">
        <v>1</v>
      </c>
    </row>
    <row r="55" spans="3:6" ht="13.15" customHeight="1" x14ac:dyDescent="0.2">
      <c r="C55" s="579" t="s">
        <v>366</v>
      </c>
      <c r="D55" s="280" t="s">
        <v>298</v>
      </c>
      <c r="E55" s="577" t="s">
        <v>365</v>
      </c>
      <c r="F55" s="576">
        <v>1</v>
      </c>
    </row>
    <row r="56" spans="3:6" ht="13.15" customHeight="1" x14ac:dyDescent="0.2">
      <c r="C56" s="578" t="s">
        <v>475</v>
      </c>
      <c r="D56" s="280" t="s">
        <v>299</v>
      </c>
      <c r="E56" s="577" t="s">
        <v>366</v>
      </c>
      <c r="F56" s="576">
        <v>1</v>
      </c>
    </row>
    <row r="57" spans="3:6" ht="13.15" customHeight="1" x14ac:dyDescent="0.2">
      <c r="C57" s="578" t="s">
        <v>476</v>
      </c>
      <c r="D57" s="280" t="s">
        <v>300</v>
      </c>
      <c r="E57" s="577" t="s">
        <v>475</v>
      </c>
      <c r="F57" s="576">
        <v>1</v>
      </c>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A71BD-EC1D-44BA-A46D-2D35D489BFB8}">
  <sheetPr>
    <pageSetUpPr fitToPage="1"/>
  </sheetPr>
  <dimension ref="A1:T40"/>
  <sheetViews>
    <sheetView showGridLines="0" topLeftCell="A13" zoomScale="80" zoomScaleNormal="80" workbookViewId="0">
      <selection activeCell="E22" sqref="E22:K22"/>
    </sheetView>
  </sheetViews>
  <sheetFormatPr defaultColWidth="0" defaultRowHeight="15.75" x14ac:dyDescent="0.25"/>
  <cols>
    <col min="1" max="1" width="2.5703125" style="308" customWidth="1"/>
    <col min="2" max="2" width="9.28515625" style="307" customWidth="1"/>
    <col min="3" max="3" width="13.28515625" style="307" customWidth="1"/>
    <col min="4" max="4" width="24.7109375" style="308" customWidth="1"/>
    <col min="5" max="11" width="14.7109375" style="308" customWidth="1"/>
    <col min="12" max="12" width="2.5703125" style="308" customWidth="1"/>
    <col min="13" max="13" width="9" style="308" hidden="1" customWidth="1"/>
    <col min="14" max="17" width="0" style="308" hidden="1" customWidth="1"/>
    <col min="18" max="18" width="2.5703125" style="308" hidden="1" customWidth="1"/>
    <col min="19" max="20" width="9" style="308" hidden="1" customWidth="1"/>
    <col min="21" max="16384" width="0" style="308" hidden="1"/>
  </cols>
  <sheetData>
    <row r="1" spans="1:11" x14ac:dyDescent="0.25">
      <c r="A1" s="306"/>
      <c r="B1" s="306"/>
    </row>
    <row r="2" spans="1:11" s="309" customFormat="1" ht="22.5" x14ac:dyDescent="0.2">
      <c r="B2" s="310" t="s">
        <v>482</v>
      </c>
      <c r="C2" s="311"/>
      <c r="D2" s="312"/>
      <c r="E2" s="312"/>
      <c r="F2" s="312"/>
      <c r="G2" s="312"/>
      <c r="H2" s="312"/>
      <c r="I2" s="313"/>
      <c r="J2" s="313" t="s">
        <v>483</v>
      </c>
      <c r="K2" s="314"/>
    </row>
    <row r="3" spans="1:11" x14ac:dyDescent="0.25">
      <c r="B3" s="315"/>
      <c r="C3" s="316"/>
      <c r="D3" s="317"/>
      <c r="E3" s="317"/>
      <c r="F3" s="317"/>
      <c r="G3" s="317"/>
      <c r="H3" s="317"/>
      <c r="I3" s="317"/>
      <c r="J3" s="317"/>
      <c r="K3" s="317"/>
    </row>
    <row r="4" spans="1:11" s="318" customFormat="1" ht="22.5" x14ac:dyDescent="0.3">
      <c r="B4" s="319"/>
      <c r="C4" s="320">
        <v>1</v>
      </c>
      <c r="D4" s="321" t="s">
        <v>484</v>
      </c>
      <c r="E4" s="322"/>
      <c r="F4" s="323" t="s">
        <v>485</v>
      </c>
      <c r="G4" s="324"/>
      <c r="H4" s="324"/>
      <c r="I4" s="324"/>
      <c r="J4" s="324"/>
      <c r="K4" s="324"/>
    </row>
    <row r="5" spans="1:11" s="318" customFormat="1" ht="22.5" x14ac:dyDescent="0.3">
      <c r="B5" s="319"/>
      <c r="C5" s="320">
        <f>C4+1</f>
        <v>2</v>
      </c>
      <c r="D5" s="321" t="s">
        <v>486</v>
      </c>
      <c r="E5" s="322"/>
      <c r="F5" s="620" t="s">
        <v>487</v>
      </c>
      <c r="G5" s="620"/>
      <c r="H5" s="620"/>
      <c r="I5" s="620"/>
      <c r="J5" s="620"/>
      <c r="K5" s="620"/>
    </row>
    <row r="6" spans="1:11" s="318" customFormat="1" ht="22.5" x14ac:dyDescent="0.3">
      <c r="B6" s="319"/>
      <c r="C6" s="320">
        <f>C5+1</f>
        <v>3</v>
      </c>
      <c r="D6" s="321" t="s">
        <v>488</v>
      </c>
      <c r="E6" s="322"/>
      <c r="F6" s="620" t="s">
        <v>489</v>
      </c>
      <c r="G6" s="620"/>
      <c r="H6" s="620"/>
      <c r="I6" s="620"/>
      <c r="J6" s="620"/>
      <c r="K6" s="620"/>
    </row>
    <row r="7" spans="1:11" s="318" customFormat="1" ht="22.5" x14ac:dyDescent="0.3">
      <c r="B7" s="319"/>
      <c r="C7" s="320">
        <f>C6+1</f>
        <v>4</v>
      </c>
      <c r="D7" s="321" t="s">
        <v>490</v>
      </c>
      <c r="E7" s="322"/>
      <c r="F7" s="620" t="s">
        <v>491</v>
      </c>
      <c r="G7" s="620"/>
      <c r="H7" s="620"/>
      <c r="I7" s="620"/>
      <c r="J7" s="620"/>
      <c r="K7" s="620"/>
    </row>
    <row r="8" spans="1:11" s="318" customFormat="1" ht="22.5" x14ac:dyDescent="0.3">
      <c r="B8" s="319"/>
      <c r="C8" s="320">
        <f>C7+1</f>
        <v>5</v>
      </c>
      <c r="D8" s="321" t="s">
        <v>492</v>
      </c>
      <c r="E8" s="322"/>
      <c r="F8" s="323" t="s">
        <v>493</v>
      </c>
      <c r="G8" s="322"/>
      <c r="H8" s="324"/>
      <c r="I8" s="324"/>
      <c r="J8" s="324"/>
      <c r="K8" s="324"/>
    </row>
    <row r="9" spans="1:11" s="318" customFormat="1" ht="22.5" x14ac:dyDescent="0.3">
      <c r="B9" s="319"/>
      <c r="C9" s="320"/>
      <c r="D9" s="321"/>
      <c r="E9" s="322"/>
      <c r="F9" s="323"/>
      <c r="G9" s="322"/>
      <c r="H9" s="324"/>
      <c r="I9" s="324"/>
      <c r="J9" s="324"/>
      <c r="K9" s="324"/>
    </row>
    <row r="10" spans="1:11" x14ac:dyDescent="0.25">
      <c r="B10" s="325"/>
      <c r="C10" s="326"/>
      <c r="D10" s="327" t="s">
        <v>494</v>
      </c>
      <c r="E10" s="328" t="s">
        <v>495</v>
      </c>
      <c r="F10" s="327"/>
      <c r="G10" s="327"/>
      <c r="H10" s="327"/>
      <c r="I10" s="327"/>
      <c r="J10" s="327"/>
      <c r="K10" s="327"/>
    </row>
    <row r="11" spans="1:11" x14ac:dyDescent="0.25">
      <c r="B11" s="329"/>
      <c r="C11" s="330"/>
      <c r="D11" s="331"/>
      <c r="E11" s="331"/>
      <c r="F11" s="331"/>
      <c r="G11" s="331"/>
      <c r="H11" s="331"/>
      <c r="I11" s="331"/>
      <c r="J11" s="331"/>
      <c r="K11" s="331"/>
    </row>
    <row r="14" spans="1:11" ht="22.5" x14ac:dyDescent="0.25">
      <c r="B14" s="621" t="s">
        <v>496</v>
      </c>
      <c r="C14" s="621"/>
      <c r="D14" s="621"/>
      <c r="E14" s="621"/>
      <c r="F14" s="621"/>
      <c r="G14" s="621"/>
      <c r="H14" s="621"/>
      <c r="I14" s="621"/>
      <c r="J14" s="621"/>
      <c r="K14" s="621"/>
    </row>
    <row r="15" spans="1:11" ht="16.5" thickBot="1" x14ac:dyDescent="0.3">
      <c r="B15" s="332" t="s">
        <v>497</v>
      </c>
      <c r="C15" s="332" t="s">
        <v>498</v>
      </c>
      <c r="D15" s="332" t="s">
        <v>499</v>
      </c>
      <c r="E15" s="622" t="s">
        <v>500</v>
      </c>
      <c r="F15" s="622"/>
      <c r="G15" s="622"/>
      <c r="H15" s="622"/>
      <c r="I15" s="622"/>
      <c r="J15" s="622"/>
      <c r="K15" s="622"/>
    </row>
    <row r="16" spans="1:11" ht="16.5" thickBot="1" x14ac:dyDescent="0.3">
      <c r="B16" s="333">
        <v>1</v>
      </c>
      <c r="C16" s="334"/>
      <c r="D16" s="335"/>
      <c r="E16" s="624"/>
      <c r="F16" s="624"/>
      <c r="G16" s="624"/>
      <c r="H16" s="624"/>
      <c r="I16" s="624"/>
      <c r="J16" s="624"/>
      <c r="K16" s="624"/>
    </row>
    <row r="17" spans="2:11" x14ac:dyDescent="0.25">
      <c r="B17" s="333">
        <v>2</v>
      </c>
      <c r="C17" s="336"/>
      <c r="D17" s="337"/>
      <c r="E17" s="624"/>
      <c r="F17" s="624"/>
      <c r="G17" s="624"/>
      <c r="H17" s="624"/>
      <c r="I17" s="624"/>
      <c r="J17" s="624"/>
      <c r="K17" s="624"/>
    </row>
    <row r="18" spans="2:11" x14ac:dyDescent="0.25">
      <c r="B18" s="338"/>
      <c r="C18" s="338"/>
      <c r="D18" s="338"/>
      <c r="E18" s="624"/>
      <c r="F18" s="624"/>
      <c r="G18" s="624"/>
      <c r="H18" s="624"/>
      <c r="I18" s="624"/>
      <c r="J18" s="624"/>
      <c r="K18" s="624"/>
    </row>
    <row r="20" spans="2:11" s="339" customFormat="1" ht="22.5" x14ac:dyDescent="0.25">
      <c r="B20" s="621" t="s">
        <v>501</v>
      </c>
      <c r="C20" s="621"/>
      <c r="D20" s="621">
        <f ca="1">TODAY()</f>
        <v>45971</v>
      </c>
      <c r="E20" s="621"/>
      <c r="F20" s="621"/>
      <c r="G20" s="621"/>
      <c r="H20" s="621"/>
      <c r="I20" s="621"/>
      <c r="J20" s="621"/>
      <c r="K20" s="621"/>
    </row>
    <row r="21" spans="2:11" s="340" customFormat="1" ht="15" x14ac:dyDescent="0.25">
      <c r="B21" s="341" t="s">
        <v>502</v>
      </c>
      <c r="C21" s="341" t="s">
        <v>503</v>
      </c>
      <c r="D21" s="341" t="s">
        <v>504</v>
      </c>
      <c r="E21" s="625" t="s">
        <v>505</v>
      </c>
      <c r="F21" s="625"/>
      <c r="G21" s="625"/>
      <c r="H21" s="625"/>
      <c r="I21" s="625"/>
      <c r="J21" s="625"/>
      <c r="K21" s="625"/>
    </row>
    <row r="22" spans="2:11" s="339" customFormat="1" ht="15" customHeight="1" x14ac:dyDescent="0.25">
      <c r="B22" s="342">
        <v>0</v>
      </c>
      <c r="C22" s="343" t="s">
        <v>506</v>
      </c>
      <c r="D22" s="344" t="s">
        <v>507</v>
      </c>
      <c r="E22" s="760" t="s">
        <v>508</v>
      </c>
      <c r="F22" s="761"/>
      <c r="G22" s="761"/>
      <c r="H22" s="761"/>
      <c r="I22" s="761"/>
      <c r="J22" s="761"/>
      <c r="K22" s="762"/>
    </row>
    <row r="23" spans="2:11" s="339" customFormat="1" ht="15" customHeight="1" x14ac:dyDescent="0.25">
      <c r="B23" s="342">
        <v>1</v>
      </c>
      <c r="C23" s="343" t="s">
        <v>486</v>
      </c>
      <c r="D23" s="344" t="s">
        <v>509</v>
      </c>
      <c r="E23" s="760" t="s">
        <v>510</v>
      </c>
      <c r="F23" s="761"/>
      <c r="G23" s="761"/>
      <c r="H23" s="761"/>
      <c r="I23" s="761"/>
      <c r="J23" s="761"/>
      <c r="K23" s="762"/>
    </row>
    <row r="24" spans="2:11" s="339" customFormat="1" ht="34.5" customHeight="1" x14ac:dyDescent="0.25">
      <c r="B24" s="342">
        <f t="shared" ref="B24:B34" si="0">B23+1</f>
        <v>2</v>
      </c>
      <c r="C24" s="343" t="s">
        <v>486</v>
      </c>
      <c r="D24" s="344" t="s">
        <v>509</v>
      </c>
      <c r="E24" s="763" t="s">
        <v>511</v>
      </c>
      <c r="F24" s="764"/>
      <c r="G24" s="764"/>
      <c r="H24" s="764"/>
      <c r="I24" s="764"/>
      <c r="J24" s="764"/>
      <c r="K24" s="765"/>
    </row>
    <row r="25" spans="2:11" s="339" customFormat="1" ht="15.75" customHeight="1" x14ac:dyDescent="0.25">
      <c r="B25" s="342">
        <f t="shared" si="0"/>
        <v>3</v>
      </c>
      <c r="C25" s="343" t="s">
        <v>486</v>
      </c>
      <c r="D25" s="344" t="s">
        <v>509</v>
      </c>
      <c r="E25" s="763" t="s">
        <v>512</v>
      </c>
      <c r="F25" s="764"/>
      <c r="G25" s="764"/>
      <c r="H25" s="764"/>
      <c r="I25" s="764"/>
      <c r="J25" s="764"/>
      <c r="K25" s="765"/>
    </row>
    <row r="26" spans="2:11" s="339" customFormat="1" ht="15.75" customHeight="1" x14ac:dyDescent="0.25">
      <c r="B26" s="342">
        <f t="shared" si="0"/>
        <v>4</v>
      </c>
      <c r="C26" s="343" t="s">
        <v>486</v>
      </c>
      <c r="D26" s="344" t="s">
        <v>509</v>
      </c>
      <c r="E26" s="763" t="s">
        <v>513</v>
      </c>
      <c r="F26" s="764"/>
      <c r="G26" s="764"/>
      <c r="H26" s="764"/>
      <c r="I26" s="764"/>
      <c r="J26" s="764"/>
      <c r="K26" s="765"/>
    </row>
    <row r="27" spans="2:11" s="339" customFormat="1" ht="15.75" customHeight="1" x14ac:dyDescent="0.25">
      <c r="B27" s="342">
        <f t="shared" si="0"/>
        <v>5</v>
      </c>
      <c r="C27" s="343" t="s">
        <v>486</v>
      </c>
      <c r="D27" s="344" t="s">
        <v>509</v>
      </c>
      <c r="E27" s="763" t="s">
        <v>514</v>
      </c>
      <c r="F27" s="764"/>
      <c r="G27" s="764"/>
      <c r="H27" s="764"/>
      <c r="I27" s="764"/>
      <c r="J27" s="764"/>
      <c r="K27" s="765"/>
    </row>
    <row r="28" spans="2:11" s="339" customFormat="1" ht="15.75" customHeight="1" x14ac:dyDescent="0.25">
      <c r="B28" s="342">
        <f t="shared" si="0"/>
        <v>6</v>
      </c>
      <c r="C28" s="343" t="s">
        <v>486</v>
      </c>
      <c r="D28" s="344" t="s">
        <v>509</v>
      </c>
      <c r="E28" s="763" t="s">
        <v>515</v>
      </c>
      <c r="F28" s="764"/>
      <c r="G28" s="764"/>
      <c r="H28" s="764"/>
      <c r="I28" s="764"/>
      <c r="J28" s="764"/>
      <c r="K28" s="765"/>
    </row>
    <row r="29" spans="2:11" s="339" customFormat="1" ht="15.75" customHeight="1" x14ac:dyDescent="0.25">
      <c r="B29" s="342">
        <f t="shared" si="0"/>
        <v>7</v>
      </c>
      <c r="C29" s="343" t="s">
        <v>486</v>
      </c>
      <c r="D29" s="344" t="s">
        <v>509</v>
      </c>
      <c r="E29" s="763" t="s">
        <v>516</v>
      </c>
      <c r="F29" s="764"/>
      <c r="G29" s="764"/>
      <c r="H29" s="764"/>
      <c r="I29" s="764"/>
      <c r="J29" s="764"/>
      <c r="K29" s="765"/>
    </row>
    <row r="30" spans="2:11" s="339" customFormat="1" ht="15" customHeight="1" x14ac:dyDescent="0.25">
      <c r="B30" s="342">
        <f t="shared" si="0"/>
        <v>8</v>
      </c>
      <c r="C30" s="343" t="s">
        <v>488</v>
      </c>
      <c r="D30" s="344" t="s">
        <v>509</v>
      </c>
      <c r="E30" s="760" t="s">
        <v>517</v>
      </c>
      <c r="F30" s="761"/>
      <c r="G30" s="761"/>
      <c r="H30" s="761"/>
      <c r="I30" s="761"/>
      <c r="J30" s="761"/>
      <c r="K30" s="762"/>
    </row>
    <row r="31" spans="2:11" s="339" customFormat="1" ht="15" x14ac:dyDescent="0.25">
      <c r="B31" s="342">
        <f t="shared" si="0"/>
        <v>9</v>
      </c>
      <c r="C31" s="343"/>
      <c r="D31" s="344"/>
      <c r="E31" s="623"/>
      <c r="F31" s="623"/>
      <c r="G31" s="623"/>
      <c r="H31" s="623"/>
      <c r="I31" s="623"/>
      <c r="J31" s="623"/>
      <c r="K31" s="623"/>
    </row>
    <row r="32" spans="2:11" s="339" customFormat="1" ht="15" x14ac:dyDescent="0.25">
      <c r="B32" s="342">
        <f t="shared" si="0"/>
        <v>10</v>
      </c>
      <c r="C32" s="343"/>
      <c r="D32" s="344"/>
      <c r="E32" s="623"/>
      <c r="F32" s="623"/>
      <c r="G32" s="623"/>
      <c r="H32" s="623"/>
      <c r="I32" s="623"/>
      <c r="J32" s="623"/>
      <c r="K32" s="623"/>
    </row>
    <row r="33" spans="2:11" s="339" customFormat="1" ht="15" x14ac:dyDescent="0.25">
      <c r="B33" s="342">
        <f t="shared" si="0"/>
        <v>11</v>
      </c>
      <c r="C33" s="343"/>
      <c r="D33" s="344"/>
      <c r="E33" s="623"/>
      <c r="F33" s="623"/>
      <c r="G33" s="623"/>
      <c r="H33" s="623"/>
      <c r="I33" s="623"/>
      <c r="J33" s="623"/>
      <c r="K33" s="623"/>
    </row>
    <row r="34" spans="2:11" s="339" customFormat="1" ht="15" x14ac:dyDescent="0.25">
      <c r="B34" s="342">
        <f t="shared" si="0"/>
        <v>12</v>
      </c>
      <c r="C34" s="343"/>
      <c r="D34" s="344"/>
      <c r="E34" s="623"/>
      <c r="F34" s="623"/>
      <c r="G34" s="623"/>
      <c r="H34" s="623"/>
      <c r="I34" s="623"/>
      <c r="J34" s="623"/>
      <c r="K34" s="623"/>
    </row>
    <row r="36" spans="2:11" ht="22.5" x14ac:dyDescent="0.25">
      <c r="B36" s="621" t="s">
        <v>518</v>
      </c>
      <c r="C36" s="621"/>
      <c r="D36" s="621"/>
      <c r="E36" s="621"/>
      <c r="F36" s="621"/>
      <c r="G36" s="621"/>
      <c r="H36" s="621"/>
      <c r="I36" s="621"/>
      <c r="J36" s="621"/>
      <c r="K36" s="621"/>
    </row>
    <row r="37" spans="2:11" x14ac:dyDescent="0.25">
      <c r="B37" s="332" t="s">
        <v>502</v>
      </c>
      <c r="C37" s="332" t="s">
        <v>498</v>
      </c>
      <c r="D37" s="332" t="s">
        <v>519</v>
      </c>
      <c r="E37" s="622" t="s">
        <v>520</v>
      </c>
      <c r="F37" s="622"/>
      <c r="G37" s="622"/>
      <c r="H37" s="622"/>
      <c r="I37" s="622"/>
      <c r="J37" s="622"/>
      <c r="K37" s="622"/>
    </row>
    <row r="38" spans="2:11" x14ac:dyDescent="0.25">
      <c r="B38" s="338">
        <v>1</v>
      </c>
      <c r="C38" s="338"/>
      <c r="D38" s="345"/>
      <c r="E38" s="624"/>
      <c r="F38" s="624"/>
      <c r="G38" s="624"/>
      <c r="H38" s="624"/>
      <c r="I38" s="624"/>
      <c r="J38" s="624"/>
      <c r="K38" s="624"/>
    </row>
    <row r="39" spans="2:11" x14ac:dyDescent="0.25">
      <c r="B39" s="338">
        <v>2</v>
      </c>
      <c r="C39" s="338"/>
      <c r="D39" s="345"/>
      <c r="E39" s="624"/>
      <c r="F39" s="624"/>
      <c r="G39" s="624"/>
      <c r="H39" s="624"/>
      <c r="I39" s="624"/>
      <c r="J39" s="624"/>
      <c r="K39" s="624"/>
    </row>
    <row r="40" spans="2:11" x14ac:dyDescent="0.25">
      <c r="B40" s="338">
        <v>3</v>
      </c>
      <c r="C40" s="338"/>
      <c r="D40" s="345"/>
      <c r="E40" s="624"/>
      <c r="F40" s="624"/>
      <c r="G40" s="624"/>
      <c r="H40" s="624"/>
      <c r="I40" s="624"/>
      <c r="J40" s="624"/>
      <c r="K40" s="624"/>
    </row>
  </sheetData>
  <mergeCells count="28">
    <mergeCell ref="E27:K27"/>
    <mergeCell ref="E28:K28"/>
    <mergeCell ref="E37:K37"/>
    <mergeCell ref="E29:K29"/>
    <mergeCell ref="E38:K38"/>
    <mergeCell ref="E39:K39"/>
    <mergeCell ref="E40:K40"/>
    <mergeCell ref="E30:K30"/>
    <mergeCell ref="E31:K31"/>
    <mergeCell ref="E32:K32"/>
    <mergeCell ref="E33:K33"/>
    <mergeCell ref="E34:K34"/>
    <mergeCell ref="B36:K36"/>
    <mergeCell ref="E23:K23"/>
    <mergeCell ref="E24:K24"/>
    <mergeCell ref="E25:K25"/>
    <mergeCell ref="E26:K26"/>
    <mergeCell ref="E16:K16"/>
    <mergeCell ref="E17:K17"/>
    <mergeCell ref="E18:K18"/>
    <mergeCell ref="B20:K20"/>
    <mergeCell ref="E21:K21"/>
    <mergeCell ref="E22:K22"/>
    <mergeCell ref="F5:K5"/>
    <mergeCell ref="F6:K6"/>
    <mergeCell ref="F7:K7"/>
    <mergeCell ref="B14:K14"/>
    <mergeCell ref="E15:K15"/>
  </mergeCells>
  <dataValidations count="1">
    <dataValidation showInputMessage="1" showErrorMessage="1" sqref="D22:D34" xr:uid="{5FA5766B-1084-4331-A546-3B70ACBCE644}"/>
  </dataValidations>
  <hyperlinks>
    <hyperlink ref="D5" location="Orcado!A1" display="Orçado" xr:uid="{6CF1AC78-A7A0-48FF-A5C4-DCCEF9EEB033}"/>
    <hyperlink ref="D8" location="Param!A1" display="Paramêtros" xr:uid="{FA419EF3-356A-40A6-AFA5-7E88EAD0EF29}"/>
    <hyperlink ref="D4" location="Capa!A1" display="Instruções" xr:uid="{4138FD45-28C0-41FF-9E36-2F39502B18E8}"/>
    <hyperlink ref="D6" location="Realizado!A1" display="Realizado" xr:uid="{06C01C05-25B4-40BD-BB68-2465FA049A69}"/>
    <hyperlink ref="D7" location="Status!A1" display="Status" xr:uid="{584AF1CF-4B31-4DE6-91AA-49A3FF615EEE}"/>
    <hyperlink ref="E10" r:id="rId1" xr:uid="{6380F8F1-A18A-4AD2-AD75-1E5522FBD1D4}"/>
  </hyperlinks>
  <printOptions horizontalCentered="1" verticalCentered="1"/>
  <pageMargins left="0.51181102362204722" right="0.51181102362204722" top="0.7857142857142857" bottom="0.7857142857142857" header="0.31496062992125984" footer="0.31496062992125984"/>
  <pageSetup paperSize="9" scale="89" orientation="landscape" r:id="rId2"/>
  <headerFooter>
    <oddHeader xml:space="preserve">&amp;L
</oddHeader>
  </headerFooter>
  <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5C7D-85FD-4AE3-A104-1513AD64D518}">
  <dimension ref="B2:Q55"/>
  <sheetViews>
    <sheetView showGridLines="0" zoomScale="80" zoomScaleNormal="80" workbookViewId="0">
      <pane xSplit="2" ySplit="4" topLeftCell="D20" activePane="bottomRight" state="frozen"/>
      <selection activeCell="E25" sqref="E25:K25"/>
      <selection pane="topRight" activeCell="E25" sqref="E25:K25"/>
      <selection pane="bottomLeft" activeCell="E25" sqref="E25:K25"/>
      <selection pane="bottomRight" activeCell="E25" sqref="E25:K25"/>
    </sheetView>
  </sheetViews>
  <sheetFormatPr defaultColWidth="9.28515625" defaultRowHeight="15" x14ac:dyDescent="0.25"/>
  <cols>
    <col min="1" max="1" width="2.7109375" style="347" customWidth="1"/>
    <col min="2" max="2" width="35.7109375" style="347" customWidth="1"/>
    <col min="3" max="3" width="29.85546875" style="347" customWidth="1"/>
    <col min="4" max="4" width="23.42578125" style="347" customWidth="1"/>
    <col min="5" max="5" width="13.7109375" style="347" customWidth="1"/>
    <col min="6" max="6" width="14.28515625" style="347" customWidth="1"/>
    <col min="7" max="7" width="13.7109375" style="347" bestFit="1" customWidth="1"/>
    <col min="8" max="16" width="12.7109375" style="347" bestFit="1" customWidth="1"/>
    <col min="17" max="17" width="12.5703125" style="347" bestFit="1" customWidth="1"/>
    <col min="18" max="16384" width="9.28515625" style="347"/>
  </cols>
  <sheetData>
    <row r="2" spans="2:17" x14ac:dyDescent="0.25">
      <c r="B2" s="626" t="s">
        <v>553</v>
      </c>
      <c r="C2" s="626"/>
      <c r="D2" s="627" t="s">
        <v>552</v>
      </c>
      <c r="E2" s="627"/>
      <c r="F2" s="627"/>
      <c r="G2" s="627"/>
      <c r="H2" s="627"/>
      <c r="I2" s="627"/>
      <c r="J2" s="627"/>
      <c r="K2" s="627"/>
      <c r="L2" s="627"/>
      <c r="M2" s="627"/>
      <c r="N2" s="627"/>
      <c r="O2" s="627"/>
      <c r="P2" s="627"/>
      <c r="Q2" s="382"/>
    </row>
    <row r="3" spans="2:17" ht="17.45" customHeight="1" x14ac:dyDescent="0.25">
      <c r="B3" s="389" t="s">
        <v>551</v>
      </c>
      <c r="C3" s="388" t="str">
        <f>Param!C17</f>
        <v>PI ADS4 - 2025</v>
      </c>
      <c r="D3" s="358"/>
      <c r="E3" s="387">
        <f>Param!C18</f>
        <v>45891</v>
      </c>
      <c r="F3" s="386">
        <f t="shared" ref="F3:P3" si="0">DATE(YEAR(E3),MONTH(E3)+1,DAY(E3))</f>
        <v>45922</v>
      </c>
      <c r="G3" s="386">
        <f t="shared" si="0"/>
        <v>45952</v>
      </c>
      <c r="H3" s="386">
        <f t="shared" si="0"/>
        <v>45983</v>
      </c>
      <c r="I3" s="386">
        <f t="shared" si="0"/>
        <v>46013</v>
      </c>
      <c r="J3" s="386">
        <f t="shared" si="0"/>
        <v>46044</v>
      </c>
      <c r="K3" s="386">
        <f t="shared" si="0"/>
        <v>46075</v>
      </c>
      <c r="L3" s="386">
        <f t="shared" si="0"/>
        <v>46103</v>
      </c>
      <c r="M3" s="386">
        <f t="shared" si="0"/>
        <v>46134</v>
      </c>
      <c r="N3" s="386">
        <f t="shared" si="0"/>
        <v>46164</v>
      </c>
      <c r="O3" s="386">
        <f t="shared" si="0"/>
        <v>46195</v>
      </c>
      <c r="P3" s="386">
        <f t="shared" si="0"/>
        <v>46225</v>
      </c>
      <c r="Q3" s="382" t="s">
        <v>35</v>
      </c>
    </row>
    <row r="4" spans="2:17" ht="25.15" customHeight="1" x14ac:dyDescent="0.25">
      <c r="B4" s="385" t="s">
        <v>550</v>
      </c>
      <c r="C4" s="384" t="str">
        <f>Param!C19</f>
        <v>Cannoli</v>
      </c>
      <c r="D4" s="383">
        <v>0</v>
      </c>
      <c r="E4" s="383">
        <v>1</v>
      </c>
      <c r="F4" s="383">
        <f t="shared" ref="F4:P4" si="1">E4+1</f>
        <v>2</v>
      </c>
      <c r="G4" s="383">
        <f t="shared" si="1"/>
        <v>3</v>
      </c>
      <c r="H4" s="383">
        <f t="shared" si="1"/>
        <v>4</v>
      </c>
      <c r="I4" s="383">
        <f t="shared" si="1"/>
        <v>5</v>
      </c>
      <c r="J4" s="383">
        <f t="shared" si="1"/>
        <v>6</v>
      </c>
      <c r="K4" s="383">
        <f t="shared" si="1"/>
        <v>7</v>
      </c>
      <c r="L4" s="383">
        <f t="shared" si="1"/>
        <v>8</v>
      </c>
      <c r="M4" s="383">
        <f t="shared" si="1"/>
        <v>9</v>
      </c>
      <c r="N4" s="383">
        <f t="shared" si="1"/>
        <v>10</v>
      </c>
      <c r="O4" s="383">
        <f t="shared" si="1"/>
        <v>11</v>
      </c>
      <c r="P4" s="383">
        <f t="shared" si="1"/>
        <v>12</v>
      </c>
      <c r="Q4" s="382"/>
    </row>
    <row r="5" spans="2:17" ht="25.15" customHeight="1" x14ac:dyDescent="0.25">
      <c r="B5" s="379" t="s">
        <v>549</v>
      </c>
      <c r="C5" s="381">
        <v>110000</v>
      </c>
      <c r="D5" s="378">
        <f>SUM(D9+D11+D13+D15+D17+D19+D21+D23+D25+D27+D29)</f>
        <v>110000</v>
      </c>
      <c r="E5" s="378">
        <f>SUM(E33:E46)+E9+E11+E13+E15+E17+E19+E21+E23+E25+E27+E29</f>
        <v>10388.230000000003</v>
      </c>
      <c r="F5" s="378">
        <f t="shared" ref="F5:P5" si="2">SUM(F33:F46)+F9+F11+F13+F15+F17+F19+F21+F23+F25+F27</f>
        <v>10305.458000000001</v>
      </c>
      <c r="G5" s="378">
        <f t="shared" si="2"/>
        <v>7986.0038000000013</v>
      </c>
      <c r="H5" s="378">
        <f t="shared" si="2"/>
        <v>8234.6041800000021</v>
      </c>
      <c r="I5" s="378">
        <f t="shared" si="2"/>
        <v>9058.0645980000045</v>
      </c>
      <c r="J5" s="378">
        <f t="shared" si="2"/>
        <v>9963.8710578000027</v>
      </c>
      <c r="K5" s="378">
        <f t="shared" si="2"/>
        <v>10960.258163580005</v>
      </c>
      <c r="L5" s="378">
        <f t="shared" si="2"/>
        <v>12056.283979938009</v>
      </c>
      <c r="M5" s="378">
        <f t="shared" si="2"/>
        <v>13261.912377931811</v>
      </c>
      <c r="N5" s="378">
        <f t="shared" si="2"/>
        <v>14588.103615724989</v>
      </c>
      <c r="O5" s="378">
        <f t="shared" si="2"/>
        <v>16046.91397729749</v>
      </c>
      <c r="P5" s="378">
        <f t="shared" si="2"/>
        <v>17651.605375027244</v>
      </c>
      <c r="Q5" s="380">
        <f>SUM(D5:P5)</f>
        <v>250501.30912529954</v>
      </c>
    </row>
    <row r="6" spans="2:17" x14ac:dyDescent="0.25">
      <c r="B6" s="379" t="s">
        <v>548</v>
      </c>
      <c r="C6" s="347">
        <v>0</v>
      </c>
      <c r="D6" s="378">
        <f>D5</f>
        <v>110000</v>
      </c>
      <c r="E6" s="378">
        <f t="shared" ref="E6:P6" si="3">D6+E5</f>
        <v>120388.23000000001</v>
      </c>
      <c r="F6" s="378">
        <f t="shared" si="3"/>
        <v>130693.68800000001</v>
      </c>
      <c r="G6" s="378">
        <f t="shared" si="3"/>
        <v>138679.6918</v>
      </c>
      <c r="H6" s="378">
        <f t="shared" si="3"/>
        <v>146914.29598</v>
      </c>
      <c r="I6" s="378">
        <f t="shared" si="3"/>
        <v>155972.36057799999</v>
      </c>
      <c r="J6" s="378">
        <f t="shared" si="3"/>
        <v>165936.23163579998</v>
      </c>
      <c r="K6" s="378">
        <f t="shared" si="3"/>
        <v>176896.48979937998</v>
      </c>
      <c r="L6" s="378">
        <f t="shared" si="3"/>
        <v>188952.773779318</v>
      </c>
      <c r="M6" s="378">
        <f t="shared" si="3"/>
        <v>202214.68615724982</v>
      </c>
      <c r="N6" s="378">
        <f t="shared" si="3"/>
        <v>216802.78977297479</v>
      </c>
      <c r="O6" s="378">
        <f t="shared" si="3"/>
        <v>232849.70375027228</v>
      </c>
      <c r="P6" s="378">
        <f t="shared" si="3"/>
        <v>250501.30912529954</v>
      </c>
    </row>
    <row r="7" spans="2:17" x14ac:dyDescent="0.25">
      <c r="B7" s="358" t="s">
        <v>486</v>
      </c>
      <c r="C7" s="357" t="s">
        <v>547</v>
      </c>
      <c r="D7" s="357"/>
    </row>
    <row r="8" spans="2:17" x14ac:dyDescent="0.25">
      <c r="B8" s="358" t="s">
        <v>546</v>
      </c>
      <c r="C8" s="371" t="s">
        <v>545</v>
      </c>
      <c r="D8" s="370"/>
      <c r="E8" s="370"/>
      <c r="F8" s="369"/>
      <c r="G8" s="368"/>
      <c r="H8" s="368"/>
      <c r="I8" s="368"/>
      <c r="J8" s="368"/>
      <c r="K8" s="368"/>
      <c r="L8" s="368"/>
      <c r="M8" s="368"/>
      <c r="N8" s="368"/>
      <c r="O8" s="368"/>
      <c r="P8" s="368"/>
      <c r="Q8" s="367"/>
    </row>
    <row r="9" spans="2:17" ht="75" x14ac:dyDescent="0.25">
      <c r="B9" s="377" t="s">
        <v>55</v>
      </c>
      <c r="C9" s="376" t="s">
        <v>544</v>
      </c>
      <c r="D9" s="364">
        <v>10000</v>
      </c>
      <c r="E9" s="364">
        <v>3500</v>
      </c>
      <c r="F9" s="363">
        <f>E9*(1+F8)</f>
        <v>3500</v>
      </c>
      <c r="G9" s="363">
        <v>500</v>
      </c>
      <c r="H9" s="363">
        <v>0</v>
      </c>
      <c r="I9" s="363">
        <f t="shared" ref="I9:P9" si="4">H9*(1+I8)</f>
        <v>0</v>
      </c>
      <c r="J9" s="363">
        <f t="shared" si="4"/>
        <v>0</v>
      </c>
      <c r="K9" s="363">
        <f t="shared" si="4"/>
        <v>0</v>
      </c>
      <c r="L9" s="363">
        <f t="shared" si="4"/>
        <v>0</v>
      </c>
      <c r="M9" s="363">
        <f t="shared" si="4"/>
        <v>0</v>
      </c>
      <c r="N9" s="363">
        <f t="shared" si="4"/>
        <v>0</v>
      </c>
      <c r="O9" s="363">
        <f t="shared" si="4"/>
        <v>0</v>
      </c>
      <c r="P9" s="363">
        <f t="shared" si="4"/>
        <v>0</v>
      </c>
      <c r="Q9" s="362">
        <f>SUM(E9:P9)</f>
        <v>7500</v>
      </c>
    </row>
    <row r="10" spans="2:17" x14ac:dyDescent="0.25">
      <c r="B10" s="372" t="s">
        <v>533</v>
      </c>
      <c r="C10" s="371" t="s">
        <v>532</v>
      </c>
      <c r="D10" s="370"/>
      <c r="E10" s="370"/>
      <c r="F10" s="369">
        <v>0.1</v>
      </c>
      <c r="G10" s="368">
        <f t="shared" ref="G10:P10" si="5">F10</f>
        <v>0.1</v>
      </c>
      <c r="H10" s="368">
        <f t="shared" si="5"/>
        <v>0.1</v>
      </c>
      <c r="I10" s="368">
        <f t="shared" si="5"/>
        <v>0.1</v>
      </c>
      <c r="J10" s="368">
        <f t="shared" si="5"/>
        <v>0.1</v>
      </c>
      <c r="K10" s="368">
        <f t="shared" si="5"/>
        <v>0.1</v>
      </c>
      <c r="L10" s="368">
        <f t="shared" si="5"/>
        <v>0.1</v>
      </c>
      <c r="M10" s="368">
        <f t="shared" si="5"/>
        <v>0.1</v>
      </c>
      <c r="N10" s="368">
        <f t="shared" si="5"/>
        <v>0.1</v>
      </c>
      <c r="O10" s="368">
        <f t="shared" si="5"/>
        <v>0.1</v>
      </c>
      <c r="P10" s="368">
        <f t="shared" si="5"/>
        <v>0.1</v>
      </c>
      <c r="Q10" s="367"/>
    </row>
    <row r="11" spans="2:17" ht="75" x14ac:dyDescent="0.25">
      <c r="B11" s="375" t="s">
        <v>57</v>
      </c>
      <c r="C11" s="374" t="s">
        <v>543</v>
      </c>
      <c r="D11" s="364">
        <v>12000</v>
      </c>
      <c r="E11" s="364">
        <v>794.96</v>
      </c>
      <c r="F11" s="363">
        <f t="shared" ref="F11:P11" si="6">E11*(1+F10)</f>
        <v>874.45600000000013</v>
      </c>
      <c r="G11" s="363">
        <f t="shared" si="6"/>
        <v>961.90160000000026</v>
      </c>
      <c r="H11" s="363">
        <f t="shared" si="6"/>
        <v>1058.0917600000005</v>
      </c>
      <c r="I11" s="363">
        <f t="shared" si="6"/>
        <v>1163.9009360000007</v>
      </c>
      <c r="J11" s="363">
        <f t="shared" si="6"/>
        <v>1280.2910296000009</v>
      </c>
      <c r="K11" s="363">
        <f t="shared" si="6"/>
        <v>1408.3201325600012</v>
      </c>
      <c r="L11" s="363">
        <f t="shared" si="6"/>
        <v>1549.1521458160014</v>
      </c>
      <c r="M11" s="363">
        <f t="shared" si="6"/>
        <v>1704.0673603976018</v>
      </c>
      <c r="N11" s="363">
        <f t="shared" si="6"/>
        <v>1874.474096437362</v>
      </c>
      <c r="O11" s="363">
        <f t="shared" si="6"/>
        <v>2061.9215060810984</v>
      </c>
      <c r="P11" s="363">
        <f t="shared" si="6"/>
        <v>2268.1136566892083</v>
      </c>
      <c r="Q11" s="362">
        <f>SUM(E11:P11)</f>
        <v>16999.650223581273</v>
      </c>
    </row>
    <row r="12" spans="2:17" x14ac:dyDescent="0.25">
      <c r="B12" s="372" t="s">
        <v>533</v>
      </c>
      <c r="C12" s="371" t="s">
        <v>532</v>
      </c>
      <c r="D12" s="370"/>
      <c r="E12" s="370"/>
      <c r="F12" s="369">
        <v>0.1</v>
      </c>
      <c r="G12" s="368">
        <f t="shared" ref="G12:P12" si="7">F12</f>
        <v>0.1</v>
      </c>
      <c r="H12" s="368">
        <f t="shared" si="7"/>
        <v>0.1</v>
      </c>
      <c r="I12" s="368">
        <f t="shared" si="7"/>
        <v>0.1</v>
      </c>
      <c r="J12" s="368">
        <f t="shared" si="7"/>
        <v>0.1</v>
      </c>
      <c r="K12" s="368">
        <f t="shared" si="7"/>
        <v>0.1</v>
      </c>
      <c r="L12" s="368">
        <f t="shared" si="7"/>
        <v>0.1</v>
      </c>
      <c r="M12" s="368">
        <f t="shared" si="7"/>
        <v>0.1</v>
      </c>
      <c r="N12" s="368">
        <f t="shared" si="7"/>
        <v>0.1</v>
      </c>
      <c r="O12" s="368">
        <f t="shared" si="7"/>
        <v>0.1</v>
      </c>
      <c r="P12" s="368">
        <f t="shared" si="7"/>
        <v>0.1</v>
      </c>
      <c r="Q12" s="367"/>
    </row>
    <row r="13" spans="2:17" ht="75" x14ac:dyDescent="0.25">
      <c r="B13" s="375" t="s">
        <v>64</v>
      </c>
      <c r="C13" s="374" t="s">
        <v>542</v>
      </c>
      <c r="D13" s="364">
        <v>16000</v>
      </c>
      <c r="E13" s="364">
        <v>617.29</v>
      </c>
      <c r="F13" s="363">
        <f t="shared" ref="F13:P13" si="8">E13*(1+F12)</f>
        <v>679.01900000000001</v>
      </c>
      <c r="G13" s="363">
        <f t="shared" si="8"/>
        <v>746.92090000000007</v>
      </c>
      <c r="H13" s="363">
        <f t="shared" si="8"/>
        <v>821.6129900000002</v>
      </c>
      <c r="I13" s="363">
        <f t="shared" si="8"/>
        <v>903.77428900000029</v>
      </c>
      <c r="J13" s="363">
        <f t="shared" si="8"/>
        <v>994.15171790000045</v>
      </c>
      <c r="K13" s="363">
        <f t="shared" si="8"/>
        <v>1093.5668896900006</v>
      </c>
      <c r="L13" s="363">
        <f t="shared" si="8"/>
        <v>1202.9235786590007</v>
      </c>
      <c r="M13" s="363">
        <f t="shared" si="8"/>
        <v>1323.2159365249008</v>
      </c>
      <c r="N13" s="363">
        <f t="shared" si="8"/>
        <v>1455.5375301773911</v>
      </c>
      <c r="O13" s="363">
        <f t="shared" si="8"/>
        <v>1601.0912831951302</v>
      </c>
      <c r="P13" s="363">
        <f t="shared" si="8"/>
        <v>1761.2004115146435</v>
      </c>
      <c r="Q13" s="362">
        <f>SUM(E13:P13)</f>
        <v>13200.304526661066</v>
      </c>
    </row>
    <row r="14" spans="2:17" x14ac:dyDescent="0.25">
      <c r="B14" s="372" t="s">
        <v>533</v>
      </c>
      <c r="C14" s="371" t="s">
        <v>532</v>
      </c>
      <c r="D14" s="370"/>
      <c r="E14" s="370"/>
      <c r="F14" s="369">
        <v>0.1</v>
      </c>
      <c r="G14" s="368">
        <f t="shared" ref="G14:P14" si="9">F14</f>
        <v>0.1</v>
      </c>
      <c r="H14" s="368">
        <f t="shared" si="9"/>
        <v>0.1</v>
      </c>
      <c r="I14" s="368">
        <f t="shared" si="9"/>
        <v>0.1</v>
      </c>
      <c r="J14" s="368">
        <f t="shared" si="9"/>
        <v>0.1</v>
      </c>
      <c r="K14" s="368">
        <f t="shared" si="9"/>
        <v>0.1</v>
      </c>
      <c r="L14" s="368">
        <f t="shared" si="9"/>
        <v>0.1</v>
      </c>
      <c r="M14" s="368">
        <f t="shared" si="9"/>
        <v>0.1</v>
      </c>
      <c r="N14" s="368">
        <f t="shared" si="9"/>
        <v>0.1</v>
      </c>
      <c r="O14" s="368">
        <f t="shared" si="9"/>
        <v>0.1</v>
      </c>
      <c r="P14" s="368">
        <f t="shared" si="9"/>
        <v>0.1</v>
      </c>
      <c r="Q14" s="367"/>
    </row>
    <row r="15" spans="2:17" ht="45" x14ac:dyDescent="0.25">
      <c r="B15" s="366" t="s">
        <v>72</v>
      </c>
      <c r="C15" s="374" t="s">
        <v>541</v>
      </c>
      <c r="D15" s="364">
        <v>40000</v>
      </c>
      <c r="E15" s="364">
        <v>1496.43</v>
      </c>
      <c r="F15" s="363">
        <f t="shared" ref="F15:P15" si="10">E15*(1+F14)</f>
        <v>1646.0730000000001</v>
      </c>
      <c r="G15" s="363">
        <f t="shared" si="10"/>
        <v>1810.6803000000002</v>
      </c>
      <c r="H15" s="363">
        <f t="shared" si="10"/>
        <v>1991.7483300000004</v>
      </c>
      <c r="I15" s="363">
        <f t="shared" si="10"/>
        <v>2190.9231630000004</v>
      </c>
      <c r="J15" s="363">
        <f t="shared" si="10"/>
        <v>2410.0154793000006</v>
      </c>
      <c r="K15" s="363">
        <f t="shared" si="10"/>
        <v>2651.0170272300011</v>
      </c>
      <c r="L15" s="363">
        <f t="shared" si="10"/>
        <v>2916.1187299530015</v>
      </c>
      <c r="M15" s="363">
        <f t="shared" si="10"/>
        <v>3207.730602948302</v>
      </c>
      <c r="N15" s="363">
        <f t="shared" si="10"/>
        <v>3528.5036632431325</v>
      </c>
      <c r="O15" s="363">
        <f t="shared" si="10"/>
        <v>3881.3540295674461</v>
      </c>
      <c r="P15" s="363">
        <f t="shared" si="10"/>
        <v>4269.4894325241912</v>
      </c>
      <c r="Q15" s="362">
        <f>SUM(E15:P15)</f>
        <v>32000.083757766079</v>
      </c>
    </row>
    <row r="16" spans="2:17" x14ac:dyDescent="0.25">
      <c r="B16" s="372" t="s">
        <v>533</v>
      </c>
      <c r="C16" s="371" t="s">
        <v>532</v>
      </c>
      <c r="D16" s="370"/>
      <c r="E16" s="370"/>
      <c r="F16" s="369">
        <v>0.1</v>
      </c>
      <c r="G16" s="368">
        <f t="shared" ref="G16:P16" si="11">F16</f>
        <v>0.1</v>
      </c>
      <c r="H16" s="368">
        <f t="shared" si="11"/>
        <v>0.1</v>
      </c>
      <c r="I16" s="368">
        <f t="shared" si="11"/>
        <v>0.1</v>
      </c>
      <c r="J16" s="368">
        <f t="shared" si="11"/>
        <v>0.1</v>
      </c>
      <c r="K16" s="368">
        <f t="shared" si="11"/>
        <v>0.1</v>
      </c>
      <c r="L16" s="368">
        <f t="shared" si="11"/>
        <v>0.1</v>
      </c>
      <c r="M16" s="368">
        <f t="shared" si="11"/>
        <v>0.1</v>
      </c>
      <c r="N16" s="368">
        <f t="shared" si="11"/>
        <v>0.1</v>
      </c>
      <c r="O16" s="368">
        <f t="shared" si="11"/>
        <v>0.1</v>
      </c>
      <c r="P16" s="368">
        <f t="shared" si="11"/>
        <v>0.1</v>
      </c>
      <c r="Q16" s="367"/>
    </row>
    <row r="17" spans="2:17" ht="30" x14ac:dyDescent="0.25">
      <c r="B17" s="366" t="s">
        <v>62</v>
      </c>
      <c r="C17" s="365" t="s">
        <v>540</v>
      </c>
      <c r="D17" s="373">
        <v>6000</v>
      </c>
      <c r="E17" s="364">
        <v>233.8</v>
      </c>
      <c r="F17" s="363">
        <f t="shared" ref="F17:P17" si="12">E17*(1+F16)</f>
        <v>257.18</v>
      </c>
      <c r="G17" s="363">
        <f t="shared" si="12"/>
        <v>282.89800000000002</v>
      </c>
      <c r="H17" s="363">
        <f t="shared" si="12"/>
        <v>311.18780000000004</v>
      </c>
      <c r="I17" s="363">
        <f t="shared" si="12"/>
        <v>342.30658000000005</v>
      </c>
      <c r="J17" s="363">
        <f t="shared" si="12"/>
        <v>376.53723800000012</v>
      </c>
      <c r="K17" s="363">
        <f t="shared" si="12"/>
        <v>414.19096180000014</v>
      </c>
      <c r="L17" s="363">
        <f t="shared" si="12"/>
        <v>455.61005798000019</v>
      </c>
      <c r="M17" s="363">
        <f t="shared" si="12"/>
        <v>501.17106377800025</v>
      </c>
      <c r="N17" s="363">
        <f t="shared" si="12"/>
        <v>551.28817015580034</v>
      </c>
      <c r="O17" s="363">
        <f t="shared" si="12"/>
        <v>606.41698717138047</v>
      </c>
      <c r="P17" s="363">
        <f t="shared" si="12"/>
        <v>667.05868588851854</v>
      </c>
      <c r="Q17" s="362">
        <f>SUM(E17:P17)</f>
        <v>4999.6455447737007</v>
      </c>
    </row>
    <row r="18" spans="2:17" x14ac:dyDescent="0.25">
      <c r="B18" s="372" t="s">
        <v>533</v>
      </c>
      <c r="C18" s="371" t="s">
        <v>532</v>
      </c>
      <c r="D18" s="370"/>
      <c r="E18" s="370"/>
      <c r="F18" s="369">
        <v>0.1</v>
      </c>
      <c r="G18" s="368">
        <f t="shared" ref="G18:P18" si="13">F18</f>
        <v>0.1</v>
      </c>
      <c r="H18" s="368">
        <f t="shared" si="13"/>
        <v>0.1</v>
      </c>
      <c r="I18" s="368">
        <f t="shared" si="13"/>
        <v>0.1</v>
      </c>
      <c r="J18" s="368">
        <f t="shared" si="13"/>
        <v>0.1</v>
      </c>
      <c r="K18" s="368">
        <f t="shared" si="13"/>
        <v>0.1</v>
      </c>
      <c r="L18" s="368">
        <f t="shared" si="13"/>
        <v>0.1</v>
      </c>
      <c r="M18" s="368">
        <f t="shared" si="13"/>
        <v>0.1</v>
      </c>
      <c r="N18" s="368">
        <f t="shared" si="13"/>
        <v>0.1</v>
      </c>
      <c r="O18" s="368">
        <f t="shared" si="13"/>
        <v>0.1</v>
      </c>
      <c r="P18" s="368">
        <f t="shared" si="13"/>
        <v>0.1</v>
      </c>
      <c r="Q18" s="367"/>
    </row>
    <row r="19" spans="2:17" x14ac:dyDescent="0.25">
      <c r="B19" s="366" t="s">
        <v>539</v>
      </c>
      <c r="C19" s="365" t="s">
        <v>538</v>
      </c>
      <c r="D19" s="364">
        <v>12000</v>
      </c>
      <c r="E19" s="364">
        <v>542.45000000000005</v>
      </c>
      <c r="F19" s="363">
        <f t="shared" ref="F19:P19" si="14">E19*(1+F18)</f>
        <v>596.69500000000005</v>
      </c>
      <c r="G19" s="363">
        <f t="shared" si="14"/>
        <v>656.36450000000013</v>
      </c>
      <c r="H19" s="363">
        <f t="shared" si="14"/>
        <v>722.00095000000022</v>
      </c>
      <c r="I19" s="363">
        <f t="shared" si="14"/>
        <v>794.20104500000025</v>
      </c>
      <c r="J19" s="363">
        <f t="shared" si="14"/>
        <v>873.62114950000034</v>
      </c>
      <c r="K19" s="363">
        <f t="shared" si="14"/>
        <v>960.98326445000043</v>
      </c>
      <c r="L19" s="363">
        <f t="shared" si="14"/>
        <v>1057.0815908950005</v>
      </c>
      <c r="M19" s="363">
        <f t="shared" si="14"/>
        <v>1162.7897499845008</v>
      </c>
      <c r="N19" s="363">
        <f t="shared" si="14"/>
        <v>1279.0687249829509</v>
      </c>
      <c r="O19" s="363">
        <f t="shared" si="14"/>
        <v>1406.975597481246</v>
      </c>
      <c r="P19" s="363">
        <f t="shared" si="14"/>
        <v>1547.6731572293709</v>
      </c>
      <c r="Q19" s="362">
        <f>SUM(E19:P19)</f>
        <v>11599.904729523072</v>
      </c>
    </row>
    <row r="20" spans="2:17" x14ac:dyDescent="0.25">
      <c r="B20" s="372" t="s">
        <v>533</v>
      </c>
      <c r="C20" s="371" t="s">
        <v>532</v>
      </c>
      <c r="D20" s="370"/>
      <c r="E20" s="370"/>
      <c r="F20" s="369">
        <v>0.1</v>
      </c>
      <c r="G20" s="368">
        <f t="shared" ref="G20:P20" si="15">F20</f>
        <v>0.1</v>
      </c>
      <c r="H20" s="368">
        <f t="shared" si="15"/>
        <v>0.1</v>
      </c>
      <c r="I20" s="368">
        <f t="shared" si="15"/>
        <v>0.1</v>
      </c>
      <c r="J20" s="368">
        <f t="shared" si="15"/>
        <v>0.1</v>
      </c>
      <c r="K20" s="368">
        <f t="shared" si="15"/>
        <v>0.1</v>
      </c>
      <c r="L20" s="368">
        <f t="shared" si="15"/>
        <v>0.1</v>
      </c>
      <c r="M20" s="368">
        <f t="shared" si="15"/>
        <v>0.1</v>
      </c>
      <c r="N20" s="368">
        <f t="shared" si="15"/>
        <v>0.1</v>
      </c>
      <c r="O20" s="368">
        <f t="shared" si="15"/>
        <v>0.1</v>
      </c>
      <c r="P20" s="368">
        <f t="shared" si="15"/>
        <v>0.1</v>
      </c>
      <c r="Q20" s="367"/>
    </row>
    <row r="21" spans="2:17" x14ac:dyDescent="0.25">
      <c r="B21" s="366" t="s">
        <v>175</v>
      </c>
      <c r="C21" s="365" t="s">
        <v>537</v>
      </c>
      <c r="D21" s="364">
        <v>4000</v>
      </c>
      <c r="E21" s="364">
        <v>869.8</v>
      </c>
      <c r="F21" s="363">
        <f t="shared" ref="F21:P21" si="16">E21*(1+F20)</f>
        <v>956.78</v>
      </c>
      <c r="G21" s="363">
        <f t="shared" si="16"/>
        <v>1052.4580000000001</v>
      </c>
      <c r="H21" s="363">
        <f t="shared" si="16"/>
        <v>1157.7038000000002</v>
      </c>
      <c r="I21" s="363">
        <f t="shared" si="16"/>
        <v>1273.4741800000004</v>
      </c>
      <c r="J21" s="363">
        <f t="shared" si="16"/>
        <v>1400.8215980000004</v>
      </c>
      <c r="K21" s="363">
        <f t="shared" si="16"/>
        <v>1540.9037578000007</v>
      </c>
      <c r="L21" s="363">
        <f t="shared" si="16"/>
        <v>1694.9941335800008</v>
      </c>
      <c r="M21" s="363">
        <f t="shared" si="16"/>
        <v>1864.4935469380011</v>
      </c>
      <c r="N21" s="363">
        <f t="shared" si="16"/>
        <v>2050.9429016318013</v>
      </c>
      <c r="O21" s="363">
        <f t="shared" si="16"/>
        <v>2256.0371917949815</v>
      </c>
      <c r="P21" s="363">
        <f t="shared" si="16"/>
        <v>2481.64091097448</v>
      </c>
      <c r="Q21" s="362">
        <f>SUM(E21:P21)</f>
        <v>18600.050020719267</v>
      </c>
    </row>
    <row r="22" spans="2:17" x14ac:dyDescent="0.25">
      <c r="B22" s="372" t="s">
        <v>533</v>
      </c>
      <c r="C22" s="371" t="s">
        <v>532</v>
      </c>
      <c r="D22" s="370"/>
      <c r="E22" s="370"/>
      <c r="F22" s="369">
        <v>0.1</v>
      </c>
      <c r="G22" s="368">
        <f t="shared" ref="G22:P22" si="17">F22</f>
        <v>0.1</v>
      </c>
      <c r="H22" s="368">
        <f t="shared" si="17"/>
        <v>0.1</v>
      </c>
      <c r="I22" s="368">
        <f t="shared" si="17"/>
        <v>0.1</v>
      </c>
      <c r="J22" s="368">
        <f t="shared" si="17"/>
        <v>0.1</v>
      </c>
      <c r="K22" s="368">
        <f t="shared" si="17"/>
        <v>0.1</v>
      </c>
      <c r="L22" s="368">
        <f t="shared" si="17"/>
        <v>0.1</v>
      </c>
      <c r="M22" s="368">
        <f t="shared" si="17"/>
        <v>0.1</v>
      </c>
      <c r="N22" s="368">
        <f t="shared" si="17"/>
        <v>0.1</v>
      </c>
      <c r="O22" s="368">
        <f t="shared" si="17"/>
        <v>0.1</v>
      </c>
      <c r="P22" s="368">
        <f t="shared" si="17"/>
        <v>0.1</v>
      </c>
      <c r="Q22" s="367"/>
    </row>
    <row r="23" spans="2:17" ht="30" x14ac:dyDescent="0.25">
      <c r="B23" s="366" t="s">
        <v>174</v>
      </c>
      <c r="C23" s="365" t="s">
        <v>536</v>
      </c>
      <c r="D23" s="364">
        <v>3000</v>
      </c>
      <c r="E23" s="364">
        <v>514.4</v>
      </c>
      <c r="F23" s="363">
        <f t="shared" ref="F23:P23" si="18">E23*(1+F22)</f>
        <v>565.84</v>
      </c>
      <c r="G23" s="363">
        <f t="shared" si="18"/>
        <v>622.42400000000009</v>
      </c>
      <c r="H23" s="363">
        <f t="shared" si="18"/>
        <v>684.66640000000018</v>
      </c>
      <c r="I23" s="363">
        <f t="shared" si="18"/>
        <v>753.13304000000028</v>
      </c>
      <c r="J23" s="363">
        <f t="shared" si="18"/>
        <v>828.44634400000041</v>
      </c>
      <c r="K23" s="363">
        <f t="shared" si="18"/>
        <v>911.29097840000054</v>
      </c>
      <c r="L23" s="363">
        <f t="shared" si="18"/>
        <v>1002.4200762400006</v>
      </c>
      <c r="M23" s="363">
        <f t="shared" si="18"/>
        <v>1102.6620838640008</v>
      </c>
      <c r="N23" s="363">
        <f t="shared" si="18"/>
        <v>1212.928292250401</v>
      </c>
      <c r="O23" s="363">
        <f t="shared" si="18"/>
        <v>1334.2211214754411</v>
      </c>
      <c r="P23" s="363">
        <f t="shared" si="18"/>
        <v>1467.6432336229855</v>
      </c>
      <c r="Q23" s="362">
        <f>SUM(E23:P23)</f>
        <v>11000.07556985283</v>
      </c>
    </row>
    <row r="24" spans="2:17" x14ac:dyDescent="0.25">
      <c r="B24" s="372" t="s">
        <v>533</v>
      </c>
      <c r="C24" s="371" t="s">
        <v>532</v>
      </c>
      <c r="D24" s="370"/>
      <c r="E24" s="370"/>
      <c r="F24" s="369">
        <v>0.1</v>
      </c>
      <c r="G24" s="368">
        <f t="shared" ref="G24:P24" si="19">F24</f>
        <v>0.1</v>
      </c>
      <c r="H24" s="368">
        <f t="shared" si="19"/>
        <v>0.1</v>
      </c>
      <c r="I24" s="368">
        <f t="shared" si="19"/>
        <v>0.1</v>
      </c>
      <c r="J24" s="368">
        <f t="shared" si="19"/>
        <v>0.1</v>
      </c>
      <c r="K24" s="368">
        <f t="shared" si="19"/>
        <v>0.1</v>
      </c>
      <c r="L24" s="368">
        <f t="shared" si="19"/>
        <v>0.1</v>
      </c>
      <c r="M24" s="368">
        <f t="shared" si="19"/>
        <v>0.1</v>
      </c>
      <c r="N24" s="368">
        <f t="shared" si="19"/>
        <v>0.1</v>
      </c>
      <c r="O24" s="368">
        <f t="shared" si="19"/>
        <v>0.1</v>
      </c>
      <c r="P24" s="368">
        <f t="shared" si="19"/>
        <v>0.1</v>
      </c>
      <c r="Q24" s="367"/>
    </row>
    <row r="25" spans="2:17" ht="30" x14ac:dyDescent="0.25">
      <c r="B25" s="366" t="s">
        <v>535</v>
      </c>
      <c r="C25" s="365" t="s">
        <v>534</v>
      </c>
      <c r="D25" s="364">
        <v>2000</v>
      </c>
      <c r="E25" s="364">
        <v>701.45</v>
      </c>
      <c r="F25" s="363">
        <f t="shared" ref="F25:P25" si="20">E25*(1+F24)</f>
        <v>771.59500000000014</v>
      </c>
      <c r="G25" s="363">
        <f t="shared" si="20"/>
        <v>848.75450000000023</v>
      </c>
      <c r="H25" s="363">
        <f t="shared" si="20"/>
        <v>933.62995000000035</v>
      </c>
      <c r="I25" s="363">
        <f t="shared" si="20"/>
        <v>1026.9929450000004</v>
      </c>
      <c r="J25" s="363">
        <f t="shared" si="20"/>
        <v>1129.6922395000006</v>
      </c>
      <c r="K25" s="363">
        <f t="shared" si="20"/>
        <v>1242.6614634500008</v>
      </c>
      <c r="L25" s="363">
        <f t="shared" si="20"/>
        <v>1366.927609795001</v>
      </c>
      <c r="M25" s="363">
        <f t="shared" si="20"/>
        <v>1503.6203707745012</v>
      </c>
      <c r="N25" s="363">
        <f t="shared" si="20"/>
        <v>1653.9824078519514</v>
      </c>
      <c r="O25" s="363">
        <f t="shared" si="20"/>
        <v>1819.3806486371466</v>
      </c>
      <c r="P25" s="363">
        <f t="shared" si="20"/>
        <v>2001.3187135008613</v>
      </c>
      <c r="Q25" s="362">
        <f>SUM(E25:P25)</f>
        <v>15000.005848509465</v>
      </c>
    </row>
    <row r="26" spans="2:17" x14ac:dyDescent="0.25">
      <c r="B26" s="372" t="s">
        <v>533</v>
      </c>
      <c r="C26" s="371" t="s">
        <v>532</v>
      </c>
      <c r="D26" s="370"/>
      <c r="E26" s="370"/>
      <c r="F26" s="369">
        <v>0.1</v>
      </c>
      <c r="G26" s="368">
        <f t="shared" ref="G26:P26" si="21">F26</f>
        <v>0.1</v>
      </c>
      <c r="H26" s="368">
        <f t="shared" si="21"/>
        <v>0.1</v>
      </c>
      <c r="I26" s="368">
        <f t="shared" si="21"/>
        <v>0.1</v>
      </c>
      <c r="J26" s="368">
        <f t="shared" si="21"/>
        <v>0.1</v>
      </c>
      <c r="K26" s="368">
        <f t="shared" si="21"/>
        <v>0.1</v>
      </c>
      <c r="L26" s="368">
        <f t="shared" si="21"/>
        <v>0.1</v>
      </c>
      <c r="M26" s="368">
        <f t="shared" si="21"/>
        <v>0.1</v>
      </c>
      <c r="N26" s="368">
        <f t="shared" si="21"/>
        <v>0.1</v>
      </c>
      <c r="O26" s="368">
        <f t="shared" si="21"/>
        <v>0.1</v>
      </c>
      <c r="P26" s="368">
        <f t="shared" si="21"/>
        <v>0.1</v>
      </c>
      <c r="Q26" s="367"/>
    </row>
    <row r="27" spans="2:17" x14ac:dyDescent="0.25">
      <c r="B27" s="366" t="s">
        <v>115</v>
      </c>
      <c r="C27" s="365" t="s">
        <v>531</v>
      </c>
      <c r="D27" s="364">
        <v>3000</v>
      </c>
      <c r="E27" s="364">
        <v>416.2</v>
      </c>
      <c r="F27" s="363">
        <f t="shared" ref="F27:P27" si="22">E27*(1+F26)</f>
        <v>457.82000000000005</v>
      </c>
      <c r="G27" s="363">
        <f t="shared" si="22"/>
        <v>503.60200000000009</v>
      </c>
      <c r="H27" s="363">
        <f t="shared" si="22"/>
        <v>553.96220000000017</v>
      </c>
      <c r="I27" s="363">
        <f t="shared" si="22"/>
        <v>609.35842000000025</v>
      </c>
      <c r="J27" s="363">
        <f t="shared" si="22"/>
        <v>670.29426200000034</v>
      </c>
      <c r="K27" s="363">
        <f t="shared" si="22"/>
        <v>737.32368820000045</v>
      </c>
      <c r="L27" s="363">
        <f t="shared" si="22"/>
        <v>811.05605702000059</v>
      </c>
      <c r="M27" s="363">
        <f t="shared" si="22"/>
        <v>892.16166272200076</v>
      </c>
      <c r="N27" s="363">
        <f t="shared" si="22"/>
        <v>981.37782899420085</v>
      </c>
      <c r="O27" s="363">
        <f t="shared" si="22"/>
        <v>1079.5156118936211</v>
      </c>
      <c r="P27" s="363">
        <f t="shared" si="22"/>
        <v>1187.4671730829832</v>
      </c>
      <c r="Q27" s="362">
        <f>SUM(E27:P27)</f>
        <v>8900.138903912808</v>
      </c>
    </row>
    <row r="28" spans="2:17" x14ac:dyDescent="0.25">
      <c r="B28" s="372" t="s">
        <v>533</v>
      </c>
      <c r="C28" s="371" t="s">
        <v>532</v>
      </c>
      <c r="D28" s="370"/>
      <c r="E28" s="370"/>
      <c r="F28" s="369">
        <v>0.1</v>
      </c>
      <c r="G28" s="368">
        <f t="shared" ref="G28:P28" si="23">F28</f>
        <v>0.1</v>
      </c>
      <c r="H28" s="368">
        <f t="shared" si="23"/>
        <v>0.1</v>
      </c>
      <c r="I28" s="368">
        <f t="shared" si="23"/>
        <v>0.1</v>
      </c>
      <c r="J28" s="368">
        <f t="shared" si="23"/>
        <v>0.1</v>
      </c>
      <c r="K28" s="368">
        <f t="shared" si="23"/>
        <v>0.1</v>
      </c>
      <c r="L28" s="368">
        <f t="shared" si="23"/>
        <v>0.1</v>
      </c>
      <c r="M28" s="368">
        <f t="shared" si="23"/>
        <v>0.1</v>
      </c>
      <c r="N28" s="368">
        <f t="shared" si="23"/>
        <v>0.1</v>
      </c>
      <c r="O28" s="368">
        <f t="shared" si="23"/>
        <v>0.1</v>
      </c>
      <c r="P28" s="368">
        <f t="shared" si="23"/>
        <v>0.1</v>
      </c>
      <c r="Q28" s="367"/>
    </row>
    <row r="29" spans="2:17" x14ac:dyDescent="0.25">
      <c r="B29" s="366" t="s">
        <v>171</v>
      </c>
      <c r="C29" s="365" t="s">
        <v>531</v>
      </c>
      <c r="D29" s="364">
        <v>2000</v>
      </c>
      <c r="E29" s="364">
        <v>701.45</v>
      </c>
      <c r="F29" s="363">
        <f t="shared" ref="F29:P29" si="24">E29*(1+F28)</f>
        <v>771.59500000000014</v>
      </c>
      <c r="G29" s="363">
        <f t="shared" si="24"/>
        <v>848.75450000000023</v>
      </c>
      <c r="H29" s="363">
        <f t="shared" si="24"/>
        <v>933.62995000000035</v>
      </c>
      <c r="I29" s="363">
        <f t="shared" si="24"/>
        <v>1026.9929450000004</v>
      </c>
      <c r="J29" s="363">
        <f t="shared" si="24"/>
        <v>1129.6922395000006</v>
      </c>
      <c r="K29" s="363">
        <f t="shared" si="24"/>
        <v>1242.6614634500008</v>
      </c>
      <c r="L29" s="363">
        <f t="shared" si="24"/>
        <v>1366.927609795001</v>
      </c>
      <c r="M29" s="363">
        <f t="shared" si="24"/>
        <v>1503.6203707745012</v>
      </c>
      <c r="N29" s="363">
        <f t="shared" si="24"/>
        <v>1653.9824078519514</v>
      </c>
      <c r="O29" s="363">
        <f t="shared" si="24"/>
        <v>1819.3806486371466</v>
      </c>
      <c r="P29" s="363">
        <f t="shared" si="24"/>
        <v>2001.3187135008613</v>
      </c>
      <c r="Q29" s="362">
        <f>SUM(E29:P29)</f>
        <v>15000.005848509465</v>
      </c>
    </row>
    <row r="30" spans="2:17" x14ac:dyDescent="0.25">
      <c r="B30" s="361"/>
      <c r="D30" s="351"/>
      <c r="E30" s="351"/>
      <c r="F30" s="360"/>
      <c r="G30" s="360"/>
      <c r="H30" s="360"/>
      <c r="I30" s="360"/>
      <c r="J30" s="360"/>
      <c r="K30" s="360"/>
      <c r="L30" s="360"/>
      <c r="M30" s="360"/>
      <c r="N30" s="360"/>
      <c r="O30" s="360"/>
      <c r="P30" s="360"/>
      <c r="Q30" s="359"/>
    </row>
    <row r="31" spans="2:17" x14ac:dyDescent="0.25">
      <c r="B31" s="361"/>
      <c r="D31" s="351"/>
      <c r="E31" s="351"/>
      <c r="F31" s="360"/>
      <c r="G31" s="360"/>
      <c r="H31" s="360"/>
      <c r="I31" s="360"/>
      <c r="J31" s="360"/>
      <c r="K31" s="360"/>
      <c r="L31" s="360"/>
      <c r="M31" s="360"/>
      <c r="N31" s="360"/>
      <c r="O31" s="360"/>
      <c r="P31" s="360"/>
      <c r="Q31" s="359"/>
    </row>
    <row r="32" spans="2:17" x14ac:dyDescent="0.25">
      <c r="B32" s="358" t="s">
        <v>530</v>
      </c>
    </row>
    <row r="33" spans="2:17" x14ac:dyDescent="0.25">
      <c r="B33" s="347" t="s">
        <v>529</v>
      </c>
      <c r="D33" s="351">
        <v>0</v>
      </c>
      <c r="E33" s="351">
        <v>0</v>
      </c>
      <c r="F33" s="356">
        <f t="shared" ref="F33:P33" si="25">E33</f>
        <v>0</v>
      </c>
      <c r="G33" s="356">
        <f t="shared" si="25"/>
        <v>0</v>
      </c>
      <c r="H33" s="356">
        <f t="shared" si="25"/>
        <v>0</v>
      </c>
      <c r="I33" s="356">
        <f t="shared" si="25"/>
        <v>0</v>
      </c>
      <c r="J33" s="356">
        <f t="shared" si="25"/>
        <v>0</v>
      </c>
      <c r="K33" s="356">
        <f t="shared" si="25"/>
        <v>0</v>
      </c>
      <c r="L33" s="356">
        <f t="shared" si="25"/>
        <v>0</v>
      </c>
      <c r="M33" s="356">
        <f t="shared" si="25"/>
        <v>0</v>
      </c>
      <c r="N33" s="356">
        <f t="shared" si="25"/>
        <v>0</v>
      </c>
      <c r="O33" s="356">
        <f t="shared" si="25"/>
        <v>0</v>
      </c>
      <c r="P33" s="356">
        <f t="shared" si="25"/>
        <v>0</v>
      </c>
      <c r="Q33" s="355">
        <f t="shared" ref="Q33:Q46" si="26">SUM(D33:P33)</f>
        <v>0</v>
      </c>
    </row>
    <row r="34" spans="2:17" x14ac:dyDescent="0.25">
      <c r="B34" s="347" t="s">
        <v>528</v>
      </c>
      <c r="D34" s="351"/>
      <c r="E34" s="351"/>
      <c r="F34" s="356">
        <f t="shared" ref="F34:P34" si="27">E34</f>
        <v>0</v>
      </c>
      <c r="G34" s="356">
        <f t="shared" si="27"/>
        <v>0</v>
      </c>
      <c r="H34" s="356">
        <f t="shared" si="27"/>
        <v>0</v>
      </c>
      <c r="I34" s="356">
        <f t="shared" si="27"/>
        <v>0</v>
      </c>
      <c r="J34" s="356">
        <f t="shared" si="27"/>
        <v>0</v>
      </c>
      <c r="K34" s="356">
        <f t="shared" si="27"/>
        <v>0</v>
      </c>
      <c r="L34" s="356">
        <f t="shared" si="27"/>
        <v>0</v>
      </c>
      <c r="M34" s="356">
        <f t="shared" si="27"/>
        <v>0</v>
      </c>
      <c r="N34" s="356">
        <f t="shared" si="27"/>
        <v>0</v>
      </c>
      <c r="O34" s="356">
        <f t="shared" si="27"/>
        <v>0</v>
      </c>
      <c r="P34" s="356">
        <f t="shared" si="27"/>
        <v>0</v>
      </c>
      <c r="Q34" s="355">
        <f t="shared" si="26"/>
        <v>0</v>
      </c>
    </row>
    <row r="35" spans="2:17" x14ac:dyDescent="0.25">
      <c r="B35" s="347" t="s">
        <v>527</v>
      </c>
      <c r="D35" s="351"/>
      <c r="E35" s="351"/>
      <c r="F35" s="356">
        <f t="shared" ref="F35:P35" si="28">E35</f>
        <v>0</v>
      </c>
      <c r="G35" s="356">
        <f t="shared" si="28"/>
        <v>0</v>
      </c>
      <c r="H35" s="356">
        <f t="shared" si="28"/>
        <v>0</v>
      </c>
      <c r="I35" s="356">
        <f t="shared" si="28"/>
        <v>0</v>
      </c>
      <c r="J35" s="356">
        <f t="shared" si="28"/>
        <v>0</v>
      </c>
      <c r="K35" s="356">
        <f t="shared" si="28"/>
        <v>0</v>
      </c>
      <c r="L35" s="356">
        <f t="shared" si="28"/>
        <v>0</v>
      </c>
      <c r="M35" s="356">
        <f t="shared" si="28"/>
        <v>0</v>
      </c>
      <c r="N35" s="356">
        <f t="shared" si="28"/>
        <v>0</v>
      </c>
      <c r="O35" s="356">
        <f t="shared" si="28"/>
        <v>0</v>
      </c>
      <c r="P35" s="356">
        <f t="shared" si="28"/>
        <v>0</v>
      </c>
      <c r="Q35" s="355">
        <f t="shared" si="26"/>
        <v>0</v>
      </c>
    </row>
    <row r="36" spans="2:17" x14ac:dyDescent="0.25">
      <c r="B36" s="357" t="s">
        <v>526</v>
      </c>
      <c r="D36" s="351"/>
      <c r="E36" s="351"/>
      <c r="F36" s="356">
        <f t="shared" ref="F36:P36" si="29">E36</f>
        <v>0</v>
      </c>
      <c r="G36" s="356">
        <f t="shared" si="29"/>
        <v>0</v>
      </c>
      <c r="H36" s="356">
        <f t="shared" si="29"/>
        <v>0</v>
      </c>
      <c r="I36" s="356">
        <f t="shared" si="29"/>
        <v>0</v>
      </c>
      <c r="J36" s="356">
        <f t="shared" si="29"/>
        <v>0</v>
      </c>
      <c r="K36" s="356">
        <f t="shared" si="29"/>
        <v>0</v>
      </c>
      <c r="L36" s="356">
        <f t="shared" si="29"/>
        <v>0</v>
      </c>
      <c r="M36" s="356">
        <f t="shared" si="29"/>
        <v>0</v>
      </c>
      <c r="N36" s="356">
        <f t="shared" si="29"/>
        <v>0</v>
      </c>
      <c r="O36" s="356">
        <f t="shared" si="29"/>
        <v>0</v>
      </c>
      <c r="P36" s="356">
        <f t="shared" si="29"/>
        <v>0</v>
      </c>
      <c r="Q36" s="355">
        <f t="shared" si="26"/>
        <v>0</v>
      </c>
    </row>
    <row r="37" spans="2:17" x14ac:dyDescent="0.25">
      <c r="B37" s="357" t="s">
        <v>526</v>
      </c>
      <c r="D37" s="351"/>
      <c r="E37" s="351"/>
      <c r="F37" s="356">
        <f t="shared" ref="F37:P37" si="30">E37</f>
        <v>0</v>
      </c>
      <c r="G37" s="356">
        <f t="shared" si="30"/>
        <v>0</v>
      </c>
      <c r="H37" s="356">
        <f t="shared" si="30"/>
        <v>0</v>
      </c>
      <c r="I37" s="356">
        <f t="shared" si="30"/>
        <v>0</v>
      </c>
      <c r="J37" s="356">
        <f t="shared" si="30"/>
        <v>0</v>
      </c>
      <c r="K37" s="356">
        <f t="shared" si="30"/>
        <v>0</v>
      </c>
      <c r="L37" s="356">
        <f t="shared" si="30"/>
        <v>0</v>
      </c>
      <c r="M37" s="356">
        <f t="shared" si="30"/>
        <v>0</v>
      </c>
      <c r="N37" s="356">
        <f t="shared" si="30"/>
        <v>0</v>
      </c>
      <c r="O37" s="356">
        <f t="shared" si="30"/>
        <v>0</v>
      </c>
      <c r="P37" s="356">
        <f t="shared" si="30"/>
        <v>0</v>
      </c>
      <c r="Q37" s="355">
        <f t="shared" si="26"/>
        <v>0</v>
      </c>
    </row>
    <row r="38" spans="2:17" x14ac:dyDescent="0.25">
      <c r="B38" s="357" t="s">
        <v>526</v>
      </c>
      <c r="D38" s="351"/>
      <c r="E38" s="351"/>
      <c r="F38" s="356">
        <f t="shared" ref="F38:P38" si="31">E38</f>
        <v>0</v>
      </c>
      <c r="G38" s="356">
        <f t="shared" si="31"/>
        <v>0</v>
      </c>
      <c r="H38" s="356">
        <f t="shared" si="31"/>
        <v>0</v>
      </c>
      <c r="I38" s="356">
        <f t="shared" si="31"/>
        <v>0</v>
      </c>
      <c r="J38" s="356">
        <f t="shared" si="31"/>
        <v>0</v>
      </c>
      <c r="K38" s="356">
        <f t="shared" si="31"/>
        <v>0</v>
      </c>
      <c r="L38" s="356">
        <f t="shared" si="31"/>
        <v>0</v>
      </c>
      <c r="M38" s="356">
        <f t="shared" si="31"/>
        <v>0</v>
      </c>
      <c r="N38" s="356">
        <f t="shared" si="31"/>
        <v>0</v>
      </c>
      <c r="O38" s="356">
        <f t="shared" si="31"/>
        <v>0</v>
      </c>
      <c r="P38" s="356">
        <f t="shared" si="31"/>
        <v>0</v>
      </c>
      <c r="Q38" s="355">
        <f t="shared" si="26"/>
        <v>0</v>
      </c>
    </row>
    <row r="39" spans="2:17" x14ac:dyDescent="0.25">
      <c r="B39" s="357" t="s">
        <v>526</v>
      </c>
      <c r="D39" s="351"/>
      <c r="E39" s="351"/>
      <c r="F39" s="356">
        <f t="shared" ref="F39:P39" si="32">E39</f>
        <v>0</v>
      </c>
      <c r="G39" s="356">
        <f t="shared" si="32"/>
        <v>0</v>
      </c>
      <c r="H39" s="356">
        <f t="shared" si="32"/>
        <v>0</v>
      </c>
      <c r="I39" s="356">
        <f t="shared" si="32"/>
        <v>0</v>
      </c>
      <c r="J39" s="356">
        <f t="shared" si="32"/>
        <v>0</v>
      </c>
      <c r="K39" s="356">
        <f t="shared" si="32"/>
        <v>0</v>
      </c>
      <c r="L39" s="356">
        <f t="shared" si="32"/>
        <v>0</v>
      </c>
      <c r="M39" s="356">
        <f t="shared" si="32"/>
        <v>0</v>
      </c>
      <c r="N39" s="356">
        <f t="shared" si="32"/>
        <v>0</v>
      </c>
      <c r="O39" s="356">
        <f t="shared" si="32"/>
        <v>0</v>
      </c>
      <c r="P39" s="356">
        <f t="shared" si="32"/>
        <v>0</v>
      </c>
      <c r="Q39" s="355">
        <f t="shared" si="26"/>
        <v>0</v>
      </c>
    </row>
    <row r="40" spans="2:17" x14ac:dyDescent="0.25">
      <c r="B40" s="357" t="s">
        <v>526</v>
      </c>
      <c r="D40" s="351"/>
      <c r="E40" s="351"/>
      <c r="F40" s="356">
        <f t="shared" ref="F40:P40" si="33">E40</f>
        <v>0</v>
      </c>
      <c r="G40" s="356">
        <f t="shared" si="33"/>
        <v>0</v>
      </c>
      <c r="H40" s="356">
        <f t="shared" si="33"/>
        <v>0</v>
      </c>
      <c r="I40" s="356">
        <f t="shared" si="33"/>
        <v>0</v>
      </c>
      <c r="J40" s="356">
        <f t="shared" si="33"/>
        <v>0</v>
      </c>
      <c r="K40" s="356">
        <f t="shared" si="33"/>
        <v>0</v>
      </c>
      <c r="L40" s="356">
        <f t="shared" si="33"/>
        <v>0</v>
      </c>
      <c r="M40" s="356">
        <f t="shared" si="33"/>
        <v>0</v>
      </c>
      <c r="N40" s="356">
        <f t="shared" si="33"/>
        <v>0</v>
      </c>
      <c r="O40" s="356">
        <f t="shared" si="33"/>
        <v>0</v>
      </c>
      <c r="P40" s="356">
        <f t="shared" si="33"/>
        <v>0</v>
      </c>
      <c r="Q40" s="355">
        <f t="shared" si="26"/>
        <v>0</v>
      </c>
    </row>
    <row r="41" spans="2:17" x14ac:dyDescent="0.25">
      <c r="B41" s="357" t="s">
        <v>526</v>
      </c>
      <c r="D41" s="351"/>
      <c r="E41" s="351"/>
      <c r="F41" s="356">
        <f t="shared" ref="F41:P41" si="34">E41</f>
        <v>0</v>
      </c>
      <c r="G41" s="356">
        <f t="shared" si="34"/>
        <v>0</v>
      </c>
      <c r="H41" s="356">
        <f t="shared" si="34"/>
        <v>0</v>
      </c>
      <c r="I41" s="356">
        <f t="shared" si="34"/>
        <v>0</v>
      </c>
      <c r="J41" s="356">
        <f t="shared" si="34"/>
        <v>0</v>
      </c>
      <c r="K41" s="356">
        <f t="shared" si="34"/>
        <v>0</v>
      </c>
      <c r="L41" s="356">
        <f t="shared" si="34"/>
        <v>0</v>
      </c>
      <c r="M41" s="356">
        <f t="shared" si="34"/>
        <v>0</v>
      </c>
      <c r="N41" s="356">
        <f t="shared" si="34"/>
        <v>0</v>
      </c>
      <c r="O41" s="356">
        <f t="shared" si="34"/>
        <v>0</v>
      </c>
      <c r="P41" s="356">
        <f t="shared" si="34"/>
        <v>0</v>
      </c>
      <c r="Q41" s="355">
        <f t="shared" si="26"/>
        <v>0</v>
      </c>
    </row>
    <row r="42" spans="2:17" x14ac:dyDescent="0.25">
      <c r="B42" s="357" t="s">
        <v>526</v>
      </c>
      <c r="D42" s="351"/>
      <c r="E42" s="351"/>
      <c r="F42" s="356">
        <f t="shared" ref="F42:P42" si="35">E42</f>
        <v>0</v>
      </c>
      <c r="G42" s="356">
        <f t="shared" si="35"/>
        <v>0</v>
      </c>
      <c r="H42" s="356">
        <f t="shared" si="35"/>
        <v>0</v>
      </c>
      <c r="I42" s="356">
        <f t="shared" si="35"/>
        <v>0</v>
      </c>
      <c r="J42" s="356">
        <f t="shared" si="35"/>
        <v>0</v>
      </c>
      <c r="K42" s="356">
        <f t="shared" si="35"/>
        <v>0</v>
      </c>
      <c r="L42" s="356">
        <f t="shared" si="35"/>
        <v>0</v>
      </c>
      <c r="M42" s="356">
        <f t="shared" si="35"/>
        <v>0</v>
      </c>
      <c r="N42" s="356">
        <f t="shared" si="35"/>
        <v>0</v>
      </c>
      <c r="O42" s="356">
        <f t="shared" si="35"/>
        <v>0</v>
      </c>
      <c r="P42" s="356">
        <f t="shared" si="35"/>
        <v>0</v>
      </c>
      <c r="Q42" s="355">
        <f t="shared" si="26"/>
        <v>0</v>
      </c>
    </row>
    <row r="43" spans="2:17" x14ac:dyDescent="0.25">
      <c r="B43" s="357" t="s">
        <v>526</v>
      </c>
      <c r="D43" s="351"/>
      <c r="E43" s="351"/>
      <c r="F43" s="356">
        <f t="shared" ref="F43:P43" si="36">E43</f>
        <v>0</v>
      </c>
      <c r="G43" s="356">
        <f t="shared" si="36"/>
        <v>0</v>
      </c>
      <c r="H43" s="356">
        <f t="shared" si="36"/>
        <v>0</v>
      </c>
      <c r="I43" s="356">
        <f t="shared" si="36"/>
        <v>0</v>
      </c>
      <c r="J43" s="356">
        <f t="shared" si="36"/>
        <v>0</v>
      </c>
      <c r="K43" s="356">
        <f t="shared" si="36"/>
        <v>0</v>
      </c>
      <c r="L43" s="356">
        <f t="shared" si="36"/>
        <v>0</v>
      </c>
      <c r="M43" s="356">
        <f t="shared" si="36"/>
        <v>0</v>
      </c>
      <c r="N43" s="356">
        <f t="shared" si="36"/>
        <v>0</v>
      </c>
      <c r="O43" s="356">
        <f t="shared" si="36"/>
        <v>0</v>
      </c>
      <c r="P43" s="356">
        <f t="shared" si="36"/>
        <v>0</v>
      </c>
      <c r="Q43" s="355">
        <f t="shared" si="26"/>
        <v>0</v>
      </c>
    </row>
    <row r="44" spans="2:17" x14ac:dyDescent="0.25">
      <c r="B44" s="357" t="s">
        <v>526</v>
      </c>
      <c r="D44" s="351"/>
      <c r="E44" s="351"/>
      <c r="F44" s="356">
        <f t="shared" ref="F44:P44" si="37">E44</f>
        <v>0</v>
      </c>
      <c r="G44" s="356">
        <f t="shared" si="37"/>
        <v>0</v>
      </c>
      <c r="H44" s="356">
        <f t="shared" si="37"/>
        <v>0</v>
      </c>
      <c r="I44" s="356">
        <f t="shared" si="37"/>
        <v>0</v>
      </c>
      <c r="J44" s="356">
        <f t="shared" si="37"/>
        <v>0</v>
      </c>
      <c r="K44" s="356">
        <f t="shared" si="37"/>
        <v>0</v>
      </c>
      <c r="L44" s="356">
        <f t="shared" si="37"/>
        <v>0</v>
      </c>
      <c r="M44" s="356">
        <f t="shared" si="37"/>
        <v>0</v>
      </c>
      <c r="N44" s="356">
        <f t="shared" si="37"/>
        <v>0</v>
      </c>
      <c r="O44" s="356">
        <f t="shared" si="37"/>
        <v>0</v>
      </c>
      <c r="P44" s="356">
        <f t="shared" si="37"/>
        <v>0</v>
      </c>
      <c r="Q44" s="355">
        <f t="shared" si="26"/>
        <v>0</v>
      </c>
    </row>
    <row r="45" spans="2:17" x14ac:dyDescent="0.25">
      <c r="B45" s="357" t="s">
        <v>526</v>
      </c>
      <c r="D45" s="351"/>
      <c r="E45" s="351"/>
      <c r="F45" s="356">
        <f t="shared" ref="F45:P45" si="38">E45</f>
        <v>0</v>
      </c>
      <c r="G45" s="356">
        <f t="shared" si="38"/>
        <v>0</v>
      </c>
      <c r="H45" s="356">
        <f t="shared" si="38"/>
        <v>0</v>
      </c>
      <c r="I45" s="356">
        <f t="shared" si="38"/>
        <v>0</v>
      </c>
      <c r="J45" s="356">
        <f t="shared" si="38"/>
        <v>0</v>
      </c>
      <c r="K45" s="356">
        <f t="shared" si="38"/>
        <v>0</v>
      </c>
      <c r="L45" s="356">
        <f t="shared" si="38"/>
        <v>0</v>
      </c>
      <c r="M45" s="356">
        <f t="shared" si="38"/>
        <v>0</v>
      </c>
      <c r="N45" s="356">
        <f t="shared" si="38"/>
        <v>0</v>
      </c>
      <c r="O45" s="356">
        <f t="shared" si="38"/>
        <v>0</v>
      </c>
      <c r="P45" s="356">
        <f t="shared" si="38"/>
        <v>0</v>
      </c>
      <c r="Q45" s="355">
        <f t="shared" si="26"/>
        <v>0</v>
      </c>
    </row>
    <row r="46" spans="2:17" x14ac:dyDescent="0.25">
      <c r="B46" s="347" t="s">
        <v>525</v>
      </c>
      <c r="D46" s="351"/>
      <c r="E46" s="351"/>
      <c r="F46" s="356">
        <f t="shared" ref="F46:P46" si="39">E46</f>
        <v>0</v>
      </c>
      <c r="G46" s="356">
        <f t="shared" si="39"/>
        <v>0</v>
      </c>
      <c r="H46" s="356">
        <f t="shared" si="39"/>
        <v>0</v>
      </c>
      <c r="I46" s="356">
        <f t="shared" si="39"/>
        <v>0</v>
      </c>
      <c r="J46" s="356">
        <f t="shared" si="39"/>
        <v>0</v>
      </c>
      <c r="K46" s="356">
        <f t="shared" si="39"/>
        <v>0</v>
      </c>
      <c r="L46" s="356">
        <f t="shared" si="39"/>
        <v>0</v>
      </c>
      <c r="M46" s="356">
        <f t="shared" si="39"/>
        <v>0</v>
      </c>
      <c r="N46" s="356">
        <f t="shared" si="39"/>
        <v>0</v>
      </c>
      <c r="O46" s="356">
        <f t="shared" si="39"/>
        <v>0</v>
      </c>
      <c r="P46" s="356">
        <f t="shared" si="39"/>
        <v>0</v>
      </c>
      <c r="Q46" s="355">
        <f t="shared" si="26"/>
        <v>0</v>
      </c>
    </row>
    <row r="50" spans="2:9" x14ac:dyDescent="0.25">
      <c r="E50" s="354"/>
      <c r="F50" s="354"/>
      <c r="G50" s="354"/>
      <c r="H50" s="354"/>
      <c r="I50" s="354"/>
    </row>
    <row r="51" spans="2:9" x14ac:dyDescent="0.25">
      <c r="B51" s="353" t="s">
        <v>524</v>
      </c>
    </row>
    <row r="52" spans="2:9" x14ac:dyDescent="0.25">
      <c r="B52" s="350"/>
      <c r="C52" s="349"/>
      <c r="D52" s="349"/>
    </row>
    <row r="53" spans="2:9" x14ac:dyDescent="0.25">
      <c r="B53" s="350" t="s">
        <v>523</v>
      </c>
      <c r="C53" s="352"/>
      <c r="D53" s="352">
        <f>NPV(Param!D4,E5:P5)+D5</f>
        <v>204067.37421387804</v>
      </c>
    </row>
    <row r="54" spans="2:9" x14ac:dyDescent="0.25">
      <c r="B54" s="350" t="s">
        <v>522</v>
      </c>
      <c r="D54" s="351">
        <f>COUNTIF(D6:P6,"&lt;=0")</f>
        <v>0</v>
      </c>
    </row>
    <row r="55" spans="2:9" x14ac:dyDescent="0.25">
      <c r="B55" s="350" t="s">
        <v>521</v>
      </c>
      <c r="C55" s="349"/>
      <c r="D55" s="348">
        <f>SUM(E5:P5)/-D5</f>
        <v>-1.2772846284118142</v>
      </c>
    </row>
  </sheetData>
  <mergeCells count="2">
    <mergeCell ref="B2:C2"/>
    <mergeCell ref="D2:P2"/>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D3C2-6E05-44AA-9AB3-3FC257A37628}">
  <dimension ref="B2:Q61"/>
  <sheetViews>
    <sheetView showGridLines="0" zoomScale="80" zoomScaleNormal="80" workbookViewId="0">
      <pane xSplit="2" ySplit="4" topLeftCell="C23" activePane="bottomRight" state="frozen"/>
      <selection activeCell="E25" sqref="E25:K25"/>
      <selection pane="topRight" activeCell="E25" sqref="E25:K25"/>
      <selection pane="bottomLeft" activeCell="E25" sqref="E25:K25"/>
      <selection pane="bottomRight" activeCell="E25" sqref="E25:K25"/>
    </sheetView>
  </sheetViews>
  <sheetFormatPr defaultColWidth="9.28515625" defaultRowHeight="15" x14ac:dyDescent="0.25"/>
  <cols>
    <col min="1" max="1" width="2.7109375" style="347" customWidth="1"/>
    <col min="2" max="2" width="41.42578125" style="347" customWidth="1"/>
    <col min="3" max="3" width="39.28515625" style="347" customWidth="1"/>
    <col min="4" max="4" width="12.7109375" style="347" customWidth="1"/>
    <col min="5" max="5" width="13.5703125" style="347" customWidth="1"/>
    <col min="6" max="6" width="13" style="347" customWidth="1"/>
    <col min="7" max="16" width="12.7109375" style="347" bestFit="1" customWidth="1"/>
    <col min="17" max="17" width="12.5703125" style="390" bestFit="1" customWidth="1"/>
    <col min="18" max="16384" width="9.28515625" style="347"/>
  </cols>
  <sheetData>
    <row r="2" spans="2:17" x14ac:dyDescent="0.25">
      <c r="B2" s="626" t="str">
        <f>Orcado!B2</f>
        <v>Identificação do Projeto</v>
      </c>
      <c r="C2" s="626"/>
      <c r="D2" s="404"/>
      <c r="E2" s="628" t="s">
        <v>552</v>
      </c>
      <c r="F2" s="628"/>
      <c r="G2" s="628"/>
      <c r="H2" s="628"/>
      <c r="I2" s="628"/>
      <c r="J2" s="628"/>
      <c r="K2" s="628"/>
      <c r="L2" s="628"/>
      <c r="M2" s="628"/>
      <c r="N2" s="628"/>
      <c r="O2" s="628"/>
      <c r="P2" s="628"/>
      <c r="Q2" s="401"/>
    </row>
    <row r="3" spans="2:17" x14ac:dyDescent="0.25">
      <c r="B3" s="358" t="s">
        <v>551</v>
      </c>
      <c r="C3" s="405" t="str">
        <f>Param!C17</f>
        <v>PI ADS4 - 2025</v>
      </c>
      <c r="D3" s="404"/>
      <c r="E3" s="387">
        <f>Orcado!E3</f>
        <v>45891</v>
      </c>
      <c r="F3" s="387">
        <f>Orcado!F3</f>
        <v>45922</v>
      </c>
      <c r="G3" s="387">
        <f>Orcado!G3</f>
        <v>45952</v>
      </c>
      <c r="H3" s="387">
        <f>Orcado!H3</f>
        <v>45983</v>
      </c>
      <c r="I3" s="387">
        <f>Orcado!I3</f>
        <v>46013</v>
      </c>
      <c r="J3" s="387">
        <f>Orcado!J3</f>
        <v>46044</v>
      </c>
      <c r="K3" s="387">
        <f>Orcado!K3</f>
        <v>46075</v>
      </c>
      <c r="L3" s="387">
        <f>Orcado!L3</f>
        <v>46103</v>
      </c>
      <c r="M3" s="387">
        <f>Orcado!M3</f>
        <v>46134</v>
      </c>
      <c r="N3" s="387">
        <f>Orcado!N3</f>
        <v>46164</v>
      </c>
      <c r="O3" s="387">
        <f>Orcado!O3</f>
        <v>46195</v>
      </c>
      <c r="P3" s="387">
        <f>Orcado!P3</f>
        <v>46225</v>
      </c>
      <c r="Q3" s="403" t="s">
        <v>35</v>
      </c>
    </row>
    <row r="4" spans="2:17" x14ac:dyDescent="0.25">
      <c r="B4" s="358" t="s">
        <v>550</v>
      </c>
      <c r="C4" s="402" t="str">
        <f>Param!C19</f>
        <v>Cannoli</v>
      </c>
      <c r="D4" s="383">
        <v>0</v>
      </c>
      <c r="E4" s="383">
        <v>1</v>
      </c>
      <c r="F4" s="383">
        <f t="shared" ref="F4:P4" si="0">E4+1</f>
        <v>2</v>
      </c>
      <c r="G4" s="383">
        <f t="shared" si="0"/>
        <v>3</v>
      </c>
      <c r="H4" s="383">
        <f t="shared" si="0"/>
        <v>4</v>
      </c>
      <c r="I4" s="383">
        <f t="shared" si="0"/>
        <v>5</v>
      </c>
      <c r="J4" s="383">
        <f t="shared" si="0"/>
        <v>6</v>
      </c>
      <c r="K4" s="383">
        <f t="shared" si="0"/>
        <v>7</v>
      </c>
      <c r="L4" s="383">
        <f t="shared" si="0"/>
        <v>8</v>
      </c>
      <c r="M4" s="383">
        <f t="shared" si="0"/>
        <v>9</v>
      </c>
      <c r="N4" s="383">
        <f t="shared" si="0"/>
        <v>10</v>
      </c>
      <c r="O4" s="383">
        <f t="shared" si="0"/>
        <v>11</v>
      </c>
      <c r="P4" s="383">
        <f t="shared" si="0"/>
        <v>12</v>
      </c>
      <c r="Q4" s="401"/>
    </row>
    <row r="5" spans="2:17" x14ac:dyDescent="0.25">
      <c r="B5" s="357" t="s">
        <v>554</v>
      </c>
      <c r="D5" s="378">
        <f>SUM(D9+D11+D13+D15+D17+D19+D21+D23+D25+D27+D29)</f>
        <v>158109</v>
      </c>
      <c r="E5" s="378">
        <f>SUM(E39:E52)+E9+E11+E13+E15+E17+E19+E21+E23+E25+E27+E29</f>
        <v>7987.4</v>
      </c>
      <c r="F5" s="378">
        <f t="shared" ref="F5:P5" si="1">SUM(F9+F11+F13+F15+F17+F19+F21+F23+F25+F27+F29)</f>
        <v>8708.1400000000012</v>
      </c>
      <c r="G5" s="378">
        <f t="shared" si="1"/>
        <v>9500.9540000000015</v>
      </c>
      <c r="H5" s="378">
        <f t="shared" si="1"/>
        <v>10373.049400000004</v>
      </c>
      <c r="I5" s="378">
        <f t="shared" si="1"/>
        <v>11332.354340000004</v>
      </c>
      <c r="J5" s="378">
        <f t="shared" si="1"/>
        <v>12387.589774000005</v>
      </c>
      <c r="K5" s="378">
        <f t="shared" si="1"/>
        <v>13548.348751400006</v>
      </c>
      <c r="L5" s="378">
        <f t="shared" si="1"/>
        <v>14825.183626540009</v>
      </c>
      <c r="M5" s="378">
        <f t="shared" si="1"/>
        <v>16229.701989194014</v>
      </c>
      <c r="N5" s="378">
        <f t="shared" si="1"/>
        <v>17774.672188113411</v>
      </c>
      <c r="O5" s="378">
        <f t="shared" si="1"/>
        <v>19474.139406924758</v>
      </c>
      <c r="P5" s="378">
        <f t="shared" si="1"/>
        <v>21343.553347617235</v>
      </c>
      <c r="Q5" s="400">
        <f>SUM(E5:P5)</f>
        <v>163485.08682378946</v>
      </c>
    </row>
    <row r="6" spans="2:17" x14ac:dyDescent="0.25">
      <c r="B6" s="357" t="s">
        <v>548</v>
      </c>
      <c r="D6" s="378">
        <f>D5</f>
        <v>158109</v>
      </c>
      <c r="E6" s="378">
        <f t="shared" ref="E6:P6" si="2">D6+E5</f>
        <v>166096.4</v>
      </c>
      <c r="F6" s="378">
        <f t="shared" si="2"/>
        <v>174804.54</v>
      </c>
      <c r="G6" s="378">
        <f t="shared" si="2"/>
        <v>184305.49400000001</v>
      </c>
      <c r="H6" s="378">
        <f t="shared" si="2"/>
        <v>194678.54340000002</v>
      </c>
      <c r="I6" s="378">
        <f t="shared" si="2"/>
        <v>206010.89774000001</v>
      </c>
      <c r="J6" s="378">
        <f t="shared" si="2"/>
        <v>218398.48751400001</v>
      </c>
      <c r="K6" s="378">
        <f t="shared" si="2"/>
        <v>231946.83626540002</v>
      </c>
      <c r="L6" s="378">
        <f t="shared" si="2"/>
        <v>246772.01989194003</v>
      </c>
      <c r="M6" s="378">
        <f t="shared" si="2"/>
        <v>263001.72188113403</v>
      </c>
      <c r="N6" s="378">
        <f t="shared" si="2"/>
        <v>280776.39406924741</v>
      </c>
      <c r="O6" s="378">
        <f t="shared" si="2"/>
        <v>300250.53347617219</v>
      </c>
      <c r="P6" s="378">
        <f t="shared" si="2"/>
        <v>321594.0868237894</v>
      </c>
    </row>
    <row r="7" spans="2:17" x14ac:dyDescent="0.25">
      <c r="B7" s="358" t="s">
        <v>488</v>
      </c>
      <c r="C7" s="357" t="s">
        <v>547</v>
      </c>
      <c r="D7" s="357"/>
    </row>
    <row r="8" spans="2:17" x14ac:dyDescent="0.25">
      <c r="B8" s="358" t="s">
        <v>546</v>
      </c>
      <c r="C8" s="371"/>
      <c r="D8" s="370"/>
      <c r="E8" s="370"/>
      <c r="F8" s="370"/>
      <c r="G8" s="370"/>
      <c r="H8" s="370"/>
      <c r="I8" s="370"/>
      <c r="J8" s="370"/>
      <c r="K8" s="370"/>
      <c r="L8" s="370"/>
      <c r="M8" s="370"/>
      <c r="N8" s="371"/>
      <c r="O8" s="371"/>
      <c r="P8" s="371"/>
      <c r="Q8" s="397"/>
    </row>
    <row r="9" spans="2:17" ht="45" x14ac:dyDescent="0.25">
      <c r="B9" s="399" t="str">
        <f>Orcado!B9</f>
        <v>Iniciação</v>
      </c>
      <c r="C9" s="376" t="s">
        <v>544</v>
      </c>
      <c r="D9" s="364">
        <v>9360</v>
      </c>
      <c r="E9" s="364">
        <v>780</v>
      </c>
      <c r="F9" s="363">
        <f t="shared" ref="F9:P9" si="3">E9*(1+F8)</f>
        <v>780</v>
      </c>
      <c r="G9" s="363">
        <f t="shared" si="3"/>
        <v>780</v>
      </c>
      <c r="H9" s="363">
        <f t="shared" si="3"/>
        <v>780</v>
      </c>
      <c r="I9" s="363">
        <f t="shared" si="3"/>
        <v>780</v>
      </c>
      <c r="J9" s="363">
        <f t="shared" si="3"/>
        <v>780</v>
      </c>
      <c r="K9" s="363">
        <f t="shared" si="3"/>
        <v>780</v>
      </c>
      <c r="L9" s="363">
        <f t="shared" si="3"/>
        <v>780</v>
      </c>
      <c r="M9" s="363">
        <f t="shared" si="3"/>
        <v>780</v>
      </c>
      <c r="N9" s="363">
        <f t="shared" si="3"/>
        <v>780</v>
      </c>
      <c r="O9" s="363">
        <f t="shared" si="3"/>
        <v>780</v>
      </c>
      <c r="P9" s="363">
        <f t="shared" si="3"/>
        <v>780</v>
      </c>
      <c r="Q9" s="395">
        <f>SUM(E9:P9)</f>
        <v>9360</v>
      </c>
    </row>
    <row r="10" spans="2:17" x14ac:dyDescent="0.25">
      <c r="B10" s="398"/>
      <c r="C10" s="371"/>
      <c r="D10" s="370"/>
      <c r="E10" s="370"/>
      <c r="F10" s="369">
        <v>0.1</v>
      </c>
      <c r="G10" s="369">
        <v>0.1</v>
      </c>
      <c r="H10" s="369">
        <v>0.1</v>
      </c>
      <c r="I10" s="369">
        <v>0.1</v>
      </c>
      <c r="J10" s="369">
        <v>0.1</v>
      </c>
      <c r="K10" s="369">
        <v>0.1</v>
      </c>
      <c r="L10" s="369">
        <v>0.1</v>
      </c>
      <c r="M10" s="369">
        <v>0.1</v>
      </c>
      <c r="N10" s="369">
        <v>0.1</v>
      </c>
      <c r="O10" s="369">
        <v>0.1</v>
      </c>
      <c r="P10" s="369">
        <v>0.1</v>
      </c>
      <c r="Q10" s="397"/>
    </row>
    <row r="11" spans="2:17" ht="60" x14ac:dyDescent="0.25">
      <c r="B11" s="396" t="str">
        <f>Orcado!B11</f>
        <v>Planejamento</v>
      </c>
      <c r="C11" s="374" t="s">
        <v>543</v>
      </c>
      <c r="D11" s="364">
        <v>16680</v>
      </c>
      <c r="E11" s="364">
        <v>780</v>
      </c>
      <c r="F11" s="363">
        <f t="shared" ref="F11:P11" si="4">E11*(1+F10)</f>
        <v>858.00000000000011</v>
      </c>
      <c r="G11" s="363">
        <f t="shared" si="4"/>
        <v>943.80000000000018</v>
      </c>
      <c r="H11" s="363">
        <f t="shared" si="4"/>
        <v>1038.1800000000003</v>
      </c>
      <c r="I11" s="363">
        <f t="shared" si="4"/>
        <v>1141.9980000000005</v>
      </c>
      <c r="J11" s="363">
        <f t="shared" si="4"/>
        <v>1256.1978000000006</v>
      </c>
      <c r="K11" s="363">
        <f t="shared" si="4"/>
        <v>1381.8175800000008</v>
      </c>
      <c r="L11" s="363">
        <f t="shared" si="4"/>
        <v>1519.999338000001</v>
      </c>
      <c r="M11" s="363">
        <f t="shared" si="4"/>
        <v>1671.9992718000012</v>
      </c>
      <c r="N11" s="363">
        <f t="shared" si="4"/>
        <v>1839.1991989800015</v>
      </c>
      <c r="O11" s="363">
        <f t="shared" si="4"/>
        <v>2023.1191188780017</v>
      </c>
      <c r="P11" s="363">
        <f t="shared" si="4"/>
        <v>2225.431030765802</v>
      </c>
      <c r="Q11" s="395">
        <f>SUM(E11:P11)</f>
        <v>16679.74133842381</v>
      </c>
    </row>
    <row r="12" spans="2:17" x14ac:dyDescent="0.25">
      <c r="B12" s="398"/>
      <c r="C12" s="371"/>
      <c r="D12" s="370"/>
      <c r="E12" s="370"/>
      <c r="F12" s="369">
        <v>0.1</v>
      </c>
      <c r="G12" s="368">
        <f t="shared" ref="G12:P12" si="5">F12</f>
        <v>0.1</v>
      </c>
      <c r="H12" s="368">
        <f t="shared" si="5"/>
        <v>0.1</v>
      </c>
      <c r="I12" s="368">
        <f t="shared" si="5"/>
        <v>0.1</v>
      </c>
      <c r="J12" s="368">
        <f t="shared" si="5"/>
        <v>0.1</v>
      </c>
      <c r="K12" s="368">
        <f t="shared" si="5"/>
        <v>0.1</v>
      </c>
      <c r="L12" s="368">
        <f t="shared" si="5"/>
        <v>0.1</v>
      </c>
      <c r="M12" s="368">
        <f t="shared" si="5"/>
        <v>0.1</v>
      </c>
      <c r="N12" s="368">
        <f t="shared" si="5"/>
        <v>0.1</v>
      </c>
      <c r="O12" s="368">
        <f t="shared" si="5"/>
        <v>0.1</v>
      </c>
      <c r="P12" s="368">
        <f t="shared" si="5"/>
        <v>0.1</v>
      </c>
      <c r="Q12" s="397"/>
    </row>
    <row r="13" spans="2:17" ht="60" x14ac:dyDescent="0.25">
      <c r="B13" s="396" t="str">
        <f>Orcado!B13</f>
        <v>Design e Prototipagem</v>
      </c>
      <c r="C13" s="374" t="s">
        <v>542</v>
      </c>
      <c r="D13" s="364">
        <v>14969</v>
      </c>
      <c r="E13" s="364">
        <v>700</v>
      </c>
      <c r="F13" s="363">
        <f t="shared" ref="F13:P13" si="6">E13*(1+F12)</f>
        <v>770.00000000000011</v>
      </c>
      <c r="G13" s="363">
        <f t="shared" si="6"/>
        <v>847.00000000000023</v>
      </c>
      <c r="H13" s="363">
        <f t="shared" si="6"/>
        <v>931.70000000000027</v>
      </c>
      <c r="I13" s="363">
        <f t="shared" si="6"/>
        <v>1024.8700000000003</v>
      </c>
      <c r="J13" s="363">
        <f t="shared" si="6"/>
        <v>1127.3570000000004</v>
      </c>
      <c r="K13" s="363">
        <f t="shared" si="6"/>
        <v>1240.0927000000006</v>
      </c>
      <c r="L13" s="363">
        <f t="shared" si="6"/>
        <v>1364.1019700000008</v>
      </c>
      <c r="M13" s="363">
        <f t="shared" si="6"/>
        <v>1500.512167000001</v>
      </c>
      <c r="N13" s="363">
        <f t="shared" si="6"/>
        <v>1650.5633837000012</v>
      </c>
      <c r="O13" s="363">
        <f t="shared" si="6"/>
        <v>1815.6197220700014</v>
      </c>
      <c r="P13" s="363">
        <f t="shared" si="6"/>
        <v>1997.1816942770017</v>
      </c>
      <c r="Q13" s="395">
        <f>SUM(E13:P13)</f>
        <v>14968.998637047009</v>
      </c>
    </row>
    <row r="14" spans="2:17" x14ac:dyDescent="0.25">
      <c r="B14" s="398"/>
      <c r="C14" s="371"/>
      <c r="D14" s="370"/>
      <c r="E14" s="370"/>
      <c r="F14" s="369">
        <v>0.1</v>
      </c>
      <c r="G14" s="368">
        <f t="shared" ref="G14:P14" si="7">F14</f>
        <v>0.1</v>
      </c>
      <c r="H14" s="368">
        <f t="shared" si="7"/>
        <v>0.1</v>
      </c>
      <c r="I14" s="368">
        <f t="shared" si="7"/>
        <v>0.1</v>
      </c>
      <c r="J14" s="368">
        <f t="shared" si="7"/>
        <v>0.1</v>
      </c>
      <c r="K14" s="368">
        <f t="shared" si="7"/>
        <v>0.1</v>
      </c>
      <c r="L14" s="368">
        <f t="shared" si="7"/>
        <v>0.1</v>
      </c>
      <c r="M14" s="368">
        <f t="shared" si="7"/>
        <v>0.1</v>
      </c>
      <c r="N14" s="368">
        <f t="shared" si="7"/>
        <v>0.1</v>
      </c>
      <c r="O14" s="368">
        <f t="shared" si="7"/>
        <v>0.1</v>
      </c>
      <c r="P14" s="368">
        <f t="shared" si="7"/>
        <v>0.1</v>
      </c>
      <c r="Q14" s="397"/>
    </row>
    <row r="15" spans="2:17" ht="30" x14ac:dyDescent="0.25">
      <c r="B15" s="396" t="str">
        <f>Orcado!B15</f>
        <v>Desenvolvimento</v>
      </c>
      <c r="C15" s="374" t="s">
        <v>541</v>
      </c>
      <c r="D15" s="364">
        <v>32000</v>
      </c>
      <c r="E15" s="364">
        <v>1700</v>
      </c>
      <c r="F15" s="363">
        <f t="shared" ref="F15:P15" si="8">E15*(1+F14)</f>
        <v>1870.0000000000002</v>
      </c>
      <c r="G15" s="363">
        <f t="shared" si="8"/>
        <v>2057.0000000000005</v>
      </c>
      <c r="H15" s="363">
        <f t="shared" si="8"/>
        <v>2262.7000000000007</v>
      </c>
      <c r="I15" s="363">
        <f t="shared" si="8"/>
        <v>2488.9700000000012</v>
      </c>
      <c r="J15" s="363">
        <f t="shared" si="8"/>
        <v>2737.8670000000016</v>
      </c>
      <c r="K15" s="363">
        <f t="shared" si="8"/>
        <v>3011.6537000000021</v>
      </c>
      <c r="L15" s="363">
        <f t="shared" si="8"/>
        <v>3312.8190700000027</v>
      </c>
      <c r="M15" s="363">
        <f t="shared" si="8"/>
        <v>3644.1009770000032</v>
      </c>
      <c r="N15" s="363">
        <f t="shared" si="8"/>
        <v>4008.511074700004</v>
      </c>
      <c r="O15" s="363">
        <f t="shared" si="8"/>
        <v>4409.3621821700044</v>
      </c>
      <c r="P15" s="363">
        <f t="shared" si="8"/>
        <v>4850.2984003870051</v>
      </c>
      <c r="Q15" s="395">
        <f>SUM(E15:P15)</f>
        <v>36353.282404257021</v>
      </c>
    </row>
    <row r="16" spans="2:17" x14ac:dyDescent="0.25">
      <c r="B16" s="398"/>
      <c r="C16" s="371"/>
      <c r="D16" s="370"/>
      <c r="E16" s="370"/>
      <c r="F16" s="369">
        <v>0.1</v>
      </c>
      <c r="G16" s="368">
        <f t="shared" ref="G16:P16" si="9">F16</f>
        <v>0.1</v>
      </c>
      <c r="H16" s="368">
        <f t="shared" si="9"/>
        <v>0.1</v>
      </c>
      <c r="I16" s="368">
        <f t="shared" si="9"/>
        <v>0.1</v>
      </c>
      <c r="J16" s="368">
        <f t="shared" si="9"/>
        <v>0.1</v>
      </c>
      <c r="K16" s="368">
        <f t="shared" si="9"/>
        <v>0.1</v>
      </c>
      <c r="L16" s="368">
        <f t="shared" si="9"/>
        <v>0.1</v>
      </c>
      <c r="M16" s="368">
        <f t="shared" si="9"/>
        <v>0.1</v>
      </c>
      <c r="N16" s="368">
        <f t="shared" si="9"/>
        <v>0.1</v>
      </c>
      <c r="O16" s="368">
        <f t="shared" si="9"/>
        <v>0.1</v>
      </c>
      <c r="P16" s="368">
        <f t="shared" si="9"/>
        <v>0.1</v>
      </c>
      <c r="Q16" s="397"/>
    </row>
    <row r="17" spans="2:17" x14ac:dyDescent="0.25">
      <c r="B17" s="396" t="str">
        <f>Orcado!B17</f>
        <v>Integração com sistemas de monitoramento de saúde</v>
      </c>
      <c r="C17" s="365" t="s">
        <v>540</v>
      </c>
      <c r="D17" s="364">
        <v>5000</v>
      </c>
      <c r="E17" s="364">
        <v>203</v>
      </c>
      <c r="F17" s="364">
        <f t="shared" ref="F17:P17" si="10">E17*(1+F16)</f>
        <v>223.3</v>
      </c>
      <c r="G17" s="364">
        <f t="shared" si="10"/>
        <v>245.63000000000002</v>
      </c>
      <c r="H17" s="364">
        <f t="shared" si="10"/>
        <v>270.19300000000004</v>
      </c>
      <c r="I17" s="364">
        <f t="shared" si="10"/>
        <v>297.21230000000008</v>
      </c>
      <c r="J17" s="364">
        <f t="shared" si="10"/>
        <v>326.93353000000013</v>
      </c>
      <c r="K17" s="364">
        <f t="shared" si="10"/>
        <v>359.62688300000019</v>
      </c>
      <c r="L17" s="364">
        <f t="shared" si="10"/>
        <v>395.58957130000022</v>
      </c>
      <c r="M17" s="364">
        <f t="shared" si="10"/>
        <v>435.14852843000028</v>
      </c>
      <c r="N17" s="364">
        <f t="shared" si="10"/>
        <v>478.66338127300037</v>
      </c>
      <c r="O17" s="364">
        <f t="shared" si="10"/>
        <v>526.52971940030045</v>
      </c>
      <c r="P17" s="364">
        <f t="shared" si="10"/>
        <v>579.18269134033051</v>
      </c>
      <c r="Q17" s="395">
        <f>SUM(E17:P17)</f>
        <v>4341.0096047436318</v>
      </c>
    </row>
    <row r="18" spans="2:17" x14ac:dyDescent="0.25">
      <c r="B18" s="398"/>
      <c r="C18" s="371"/>
      <c r="D18" s="370"/>
      <c r="E18" s="370"/>
      <c r="F18" s="369">
        <v>0.1</v>
      </c>
      <c r="G18" s="368">
        <f t="shared" ref="G18:P18" si="11">F18</f>
        <v>0.1</v>
      </c>
      <c r="H18" s="368">
        <f t="shared" si="11"/>
        <v>0.1</v>
      </c>
      <c r="I18" s="368">
        <f t="shared" si="11"/>
        <v>0.1</v>
      </c>
      <c r="J18" s="368">
        <f t="shared" si="11"/>
        <v>0.1</v>
      </c>
      <c r="K18" s="368">
        <f t="shared" si="11"/>
        <v>0.1</v>
      </c>
      <c r="L18" s="368">
        <f t="shared" si="11"/>
        <v>0.1</v>
      </c>
      <c r="M18" s="368">
        <f t="shared" si="11"/>
        <v>0.1</v>
      </c>
      <c r="N18" s="368">
        <f t="shared" si="11"/>
        <v>0.1</v>
      </c>
      <c r="O18" s="368">
        <f t="shared" si="11"/>
        <v>0.1</v>
      </c>
      <c r="P18" s="368">
        <f t="shared" si="11"/>
        <v>0.1</v>
      </c>
      <c r="Q18" s="397"/>
    </row>
    <row r="19" spans="2:17" x14ac:dyDescent="0.25">
      <c r="B19" s="396" t="str">
        <f>Orcado!B19</f>
        <v>Teste</v>
      </c>
      <c r="C19" s="365" t="s">
        <v>538</v>
      </c>
      <c r="D19" s="364">
        <v>11600</v>
      </c>
      <c r="E19" s="364">
        <v>520</v>
      </c>
      <c r="F19" s="364">
        <f t="shared" ref="F19:P19" si="12">E19*(1+F18)</f>
        <v>572</v>
      </c>
      <c r="G19" s="364">
        <f t="shared" si="12"/>
        <v>629.20000000000005</v>
      </c>
      <c r="H19" s="364">
        <f t="shared" si="12"/>
        <v>692.12000000000012</v>
      </c>
      <c r="I19" s="364">
        <f t="shared" si="12"/>
        <v>761.33200000000022</v>
      </c>
      <c r="J19" s="364">
        <f t="shared" si="12"/>
        <v>837.46520000000032</v>
      </c>
      <c r="K19" s="364">
        <f t="shared" si="12"/>
        <v>921.21172000000047</v>
      </c>
      <c r="L19" s="364">
        <f t="shared" si="12"/>
        <v>1013.3328920000006</v>
      </c>
      <c r="M19" s="364">
        <f t="shared" si="12"/>
        <v>1114.6661812000007</v>
      </c>
      <c r="N19" s="364">
        <f t="shared" si="12"/>
        <v>1226.1327993200009</v>
      </c>
      <c r="O19" s="364">
        <f t="shared" si="12"/>
        <v>1348.7460792520012</v>
      </c>
      <c r="P19" s="364">
        <f t="shared" si="12"/>
        <v>1483.6206871772015</v>
      </c>
      <c r="Q19" s="395">
        <f>SUM(E19:P19)</f>
        <v>11119.827558949206</v>
      </c>
    </row>
    <row r="20" spans="2:17" x14ac:dyDescent="0.25">
      <c r="B20" s="398"/>
      <c r="C20" s="371"/>
      <c r="D20" s="370"/>
      <c r="E20" s="370"/>
      <c r="F20" s="369">
        <v>0.1</v>
      </c>
      <c r="G20" s="368">
        <f t="shared" ref="G20:P20" si="13">F20</f>
        <v>0.1</v>
      </c>
      <c r="H20" s="368">
        <f t="shared" si="13"/>
        <v>0.1</v>
      </c>
      <c r="I20" s="368">
        <f t="shared" si="13"/>
        <v>0.1</v>
      </c>
      <c r="J20" s="368">
        <f t="shared" si="13"/>
        <v>0.1</v>
      </c>
      <c r="K20" s="368">
        <f t="shared" si="13"/>
        <v>0.1</v>
      </c>
      <c r="L20" s="368">
        <f t="shared" si="13"/>
        <v>0.1</v>
      </c>
      <c r="M20" s="368">
        <f t="shared" si="13"/>
        <v>0.1</v>
      </c>
      <c r="N20" s="368">
        <f t="shared" si="13"/>
        <v>0.1</v>
      </c>
      <c r="O20" s="368">
        <f t="shared" si="13"/>
        <v>0.1</v>
      </c>
      <c r="P20" s="368">
        <f t="shared" si="13"/>
        <v>0.1</v>
      </c>
      <c r="Q20" s="397"/>
    </row>
    <row r="21" spans="2:17" x14ac:dyDescent="0.25">
      <c r="B21" s="396" t="str">
        <f>Orcado!B21</f>
        <v>Lançamento (Stakeholders internos)</v>
      </c>
      <c r="C21" s="365" t="s">
        <v>537</v>
      </c>
      <c r="D21" s="364">
        <v>18600</v>
      </c>
      <c r="E21" s="364">
        <v>950</v>
      </c>
      <c r="F21" s="364">
        <f t="shared" ref="F21:P21" si="14">E21*(1+F20)</f>
        <v>1045</v>
      </c>
      <c r="G21" s="364">
        <f t="shared" si="14"/>
        <v>1149.5</v>
      </c>
      <c r="H21" s="364">
        <f t="shared" si="14"/>
        <v>1264.45</v>
      </c>
      <c r="I21" s="364">
        <f t="shared" si="14"/>
        <v>1390.8950000000002</v>
      </c>
      <c r="J21" s="364">
        <f t="shared" si="14"/>
        <v>1529.9845000000003</v>
      </c>
      <c r="K21" s="364">
        <f t="shared" si="14"/>
        <v>1682.9829500000003</v>
      </c>
      <c r="L21" s="364">
        <f t="shared" si="14"/>
        <v>1851.2812450000006</v>
      </c>
      <c r="M21" s="364">
        <f t="shared" si="14"/>
        <v>2036.4093695000008</v>
      </c>
      <c r="N21" s="364">
        <f t="shared" si="14"/>
        <v>2240.0503064500012</v>
      </c>
      <c r="O21" s="364">
        <f t="shared" si="14"/>
        <v>2464.0553370950015</v>
      </c>
      <c r="P21" s="364">
        <f t="shared" si="14"/>
        <v>2710.4608708045021</v>
      </c>
      <c r="Q21" s="395">
        <f>SUM(E21:P21)</f>
        <v>20315.069578849507</v>
      </c>
    </row>
    <row r="22" spans="2:17" x14ac:dyDescent="0.25">
      <c r="B22" s="398"/>
      <c r="C22" s="371"/>
      <c r="D22" s="370"/>
      <c r="E22" s="370"/>
      <c r="F22" s="369">
        <v>0.1</v>
      </c>
      <c r="G22" s="368">
        <f t="shared" ref="G22:P22" si="15">F22</f>
        <v>0.1</v>
      </c>
      <c r="H22" s="368">
        <f t="shared" si="15"/>
        <v>0.1</v>
      </c>
      <c r="I22" s="368">
        <f t="shared" si="15"/>
        <v>0.1</v>
      </c>
      <c r="J22" s="368">
        <f t="shared" si="15"/>
        <v>0.1</v>
      </c>
      <c r="K22" s="368">
        <f t="shared" si="15"/>
        <v>0.1</v>
      </c>
      <c r="L22" s="368">
        <f t="shared" si="15"/>
        <v>0.1</v>
      </c>
      <c r="M22" s="368">
        <f t="shared" si="15"/>
        <v>0.1</v>
      </c>
      <c r="N22" s="368">
        <f t="shared" si="15"/>
        <v>0.1</v>
      </c>
      <c r="O22" s="368">
        <f t="shared" si="15"/>
        <v>0.1</v>
      </c>
      <c r="P22" s="368">
        <f t="shared" si="15"/>
        <v>0.1</v>
      </c>
      <c r="Q22" s="397"/>
    </row>
    <row r="23" spans="2:17" x14ac:dyDescent="0.25">
      <c r="B23" s="396" t="str">
        <f>Orcado!B23</f>
        <v>Pós-lançamento (Stakeholders internos)</v>
      </c>
      <c r="C23" s="365" t="s">
        <v>536</v>
      </c>
      <c r="D23" s="364">
        <v>11000</v>
      </c>
      <c r="E23" s="364">
        <v>514.4</v>
      </c>
      <c r="F23" s="364">
        <f t="shared" ref="F23:P23" si="16">E23*(1+F22)</f>
        <v>565.84</v>
      </c>
      <c r="G23" s="364">
        <f t="shared" si="16"/>
        <v>622.42400000000009</v>
      </c>
      <c r="H23" s="364">
        <f t="shared" si="16"/>
        <v>684.66640000000018</v>
      </c>
      <c r="I23" s="364">
        <f t="shared" si="16"/>
        <v>753.13304000000028</v>
      </c>
      <c r="J23" s="364">
        <f t="shared" si="16"/>
        <v>828.44634400000041</v>
      </c>
      <c r="K23" s="364">
        <f t="shared" si="16"/>
        <v>911.29097840000054</v>
      </c>
      <c r="L23" s="364">
        <f t="shared" si="16"/>
        <v>1002.4200762400006</v>
      </c>
      <c r="M23" s="364">
        <f t="shared" si="16"/>
        <v>1102.6620838640008</v>
      </c>
      <c r="N23" s="364">
        <f t="shared" si="16"/>
        <v>1212.928292250401</v>
      </c>
      <c r="O23" s="364">
        <f t="shared" si="16"/>
        <v>1334.2211214754411</v>
      </c>
      <c r="P23" s="364">
        <f t="shared" si="16"/>
        <v>1467.6432336229855</v>
      </c>
      <c r="Q23" s="395">
        <f>SUM(E23:P23)</f>
        <v>11000.07556985283</v>
      </c>
    </row>
    <row r="24" spans="2:17" x14ac:dyDescent="0.25">
      <c r="B24" s="398"/>
      <c r="C24" s="371"/>
      <c r="D24" s="370"/>
      <c r="E24" s="370"/>
      <c r="F24" s="369">
        <v>0.1</v>
      </c>
      <c r="G24" s="368">
        <f t="shared" ref="G24:P24" si="17">F24</f>
        <v>0.1</v>
      </c>
      <c r="H24" s="368">
        <f t="shared" si="17"/>
        <v>0.1</v>
      </c>
      <c r="I24" s="368">
        <f t="shared" si="17"/>
        <v>0.1</v>
      </c>
      <c r="J24" s="368">
        <f t="shared" si="17"/>
        <v>0.1</v>
      </c>
      <c r="K24" s="368">
        <f t="shared" si="17"/>
        <v>0.1</v>
      </c>
      <c r="L24" s="368">
        <f t="shared" si="17"/>
        <v>0.1</v>
      </c>
      <c r="M24" s="368">
        <f t="shared" si="17"/>
        <v>0.1</v>
      </c>
      <c r="N24" s="368">
        <f t="shared" si="17"/>
        <v>0.1</v>
      </c>
      <c r="O24" s="368">
        <f t="shared" si="17"/>
        <v>0.1</v>
      </c>
      <c r="P24" s="368">
        <f t="shared" si="17"/>
        <v>0.1</v>
      </c>
      <c r="Q24" s="397"/>
    </row>
    <row r="25" spans="2:17" x14ac:dyDescent="0.25">
      <c r="B25" s="396" t="str">
        <f>Orcado!B25</f>
        <v xml:space="preserve">Marketing e Divulgação - para o Mercado </v>
      </c>
      <c r="C25" s="365" t="s">
        <v>534</v>
      </c>
      <c r="D25" s="364">
        <v>15000</v>
      </c>
      <c r="E25" s="364">
        <v>720</v>
      </c>
      <c r="F25" s="364">
        <f t="shared" ref="F25:P25" si="18">E25*(1+F24)</f>
        <v>792.00000000000011</v>
      </c>
      <c r="G25" s="364">
        <f t="shared" si="18"/>
        <v>871.20000000000016</v>
      </c>
      <c r="H25" s="364">
        <f t="shared" si="18"/>
        <v>958.32000000000028</v>
      </c>
      <c r="I25" s="364">
        <f t="shared" si="18"/>
        <v>1054.1520000000005</v>
      </c>
      <c r="J25" s="364">
        <f t="shared" si="18"/>
        <v>1159.5672000000006</v>
      </c>
      <c r="K25" s="364">
        <f t="shared" si="18"/>
        <v>1275.5239200000008</v>
      </c>
      <c r="L25" s="364">
        <f t="shared" si="18"/>
        <v>1403.0763120000011</v>
      </c>
      <c r="M25" s="364">
        <f t="shared" si="18"/>
        <v>1543.3839432000013</v>
      </c>
      <c r="N25" s="364">
        <f t="shared" si="18"/>
        <v>1697.7223375200017</v>
      </c>
      <c r="O25" s="364">
        <f t="shared" si="18"/>
        <v>1867.4945712720021</v>
      </c>
      <c r="P25" s="364">
        <f t="shared" si="18"/>
        <v>2054.2440283992023</v>
      </c>
      <c r="Q25" s="395">
        <f>SUM(E25:P25)</f>
        <v>15396.684312391208</v>
      </c>
    </row>
    <row r="26" spans="2:17" x14ac:dyDescent="0.25">
      <c r="B26" s="398"/>
      <c r="C26" s="371"/>
      <c r="D26" s="370"/>
      <c r="E26" s="370"/>
      <c r="F26" s="369">
        <v>0.1</v>
      </c>
      <c r="G26" s="368">
        <f t="shared" ref="G26:P26" si="19">F26</f>
        <v>0.1</v>
      </c>
      <c r="H26" s="368">
        <f t="shared" si="19"/>
        <v>0.1</v>
      </c>
      <c r="I26" s="368">
        <f t="shared" si="19"/>
        <v>0.1</v>
      </c>
      <c r="J26" s="368">
        <f t="shared" si="19"/>
        <v>0.1</v>
      </c>
      <c r="K26" s="368">
        <f t="shared" si="19"/>
        <v>0.1</v>
      </c>
      <c r="L26" s="368">
        <f t="shared" si="19"/>
        <v>0.1</v>
      </c>
      <c r="M26" s="368">
        <f t="shared" si="19"/>
        <v>0.1</v>
      </c>
      <c r="N26" s="368">
        <f t="shared" si="19"/>
        <v>0.1</v>
      </c>
      <c r="O26" s="368">
        <f t="shared" si="19"/>
        <v>0.1</v>
      </c>
      <c r="P26" s="368">
        <f t="shared" si="19"/>
        <v>0.1</v>
      </c>
      <c r="Q26" s="397"/>
    </row>
    <row r="27" spans="2:17" x14ac:dyDescent="0.25">
      <c r="B27" s="396" t="str">
        <f>Orcado!B27</f>
        <v>Avaliação e Aperfeiçoamento</v>
      </c>
      <c r="C27" s="365" t="s">
        <v>531</v>
      </c>
      <c r="D27" s="364">
        <v>8900</v>
      </c>
      <c r="E27" s="364">
        <v>410</v>
      </c>
      <c r="F27" s="364">
        <f t="shared" ref="F27:P27" si="20">E27*(1+F26)</f>
        <v>451.00000000000006</v>
      </c>
      <c r="G27" s="364">
        <f t="shared" si="20"/>
        <v>496.10000000000008</v>
      </c>
      <c r="H27" s="364">
        <f t="shared" si="20"/>
        <v>545.71000000000015</v>
      </c>
      <c r="I27" s="364">
        <f t="shared" si="20"/>
        <v>600.28100000000018</v>
      </c>
      <c r="J27" s="364">
        <f t="shared" si="20"/>
        <v>660.30910000000029</v>
      </c>
      <c r="K27" s="364">
        <f t="shared" si="20"/>
        <v>726.34001000000035</v>
      </c>
      <c r="L27" s="364">
        <f t="shared" si="20"/>
        <v>798.97401100000047</v>
      </c>
      <c r="M27" s="364">
        <f t="shared" si="20"/>
        <v>878.87141210000061</v>
      </c>
      <c r="N27" s="364">
        <f t="shared" si="20"/>
        <v>966.75855331000071</v>
      </c>
      <c r="O27" s="364">
        <f t="shared" si="20"/>
        <v>1063.4344086410008</v>
      </c>
      <c r="P27" s="364">
        <f t="shared" si="20"/>
        <v>1169.7778495051009</v>
      </c>
      <c r="Q27" s="395">
        <f>SUM(E27:P27)</f>
        <v>8767.5563445561056</v>
      </c>
    </row>
    <row r="28" spans="2:17" x14ac:dyDescent="0.25">
      <c r="B28" s="398"/>
      <c r="C28" s="371"/>
      <c r="D28" s="370"/>
      <c r="E28" s="370"/>
      <c r="F28" s="369">
        <v>0.1</v>
      </c>
      <c r="G28" s="368">
        <f t="shared" ref="G28:P28" si="21">F28</f>
        <v>0.1</v>
      </c>
      <c r="H28" s="368">
        <f t="shared" si="21"/>
        <v>0.1</v>
      </c>
      <c r="I28" s="368">
        <f t="shared" si="21"/>
        <v>0.1</v>
      </c>
      <c r="J28" s="368">
        <f t="shared" si="21"/>
        <v>0.1</v>
      </c>
      <c r="K28" s="368">
        <f t="shared" si="21"/>
        <v>0.1</v>
      </c>
      <c r="L28" s="368">
        <f t="shared" si="21"/>
        <v>0.1</v>
      </c>
      <c r="M28" s="368">
        <f t="shared" si="21"/>
        <v>0.1</v>
      </c>
      <c r="N28" s="368">
        <f t="shared" si="21"/>
        <v>0.1</v>
      </c>
      <c r="O28" s="368">
        <f t="shared" si="21"/>
        <v>0.1</v>
      </c>
      <c r="P28" s="368">
        <f t="shared" si="21"/>
        <v>0.1</v>
      </c>
      <c r="Q28" s="397"/>
    </row>
    <row r="29" spans="2:17" x14ac:dyDescent="0.25">
      <c r="B29" s="396" t="str">
        <f>Orcado!B29</f>
        <v>Expansão</v>
      </c>
      <c r="C29" s="365" t="s">
        <v>531</v>
      </c>
      <c r="D29" s="364">
        <v>15000</v>
      </c>
      <c r="E29" s="364">
        <v>710</v>
      </c>
      <c r="F29" s="364">
        <f t="shared" ref="F29:P29" si="22">E29*(1+F28)</f>
        <v>781.00000000000011</v>
      </c>
      <c r="G29" s="364">
        <f t="shared" si="22"/>
        <v>859.10000000000025</v>
      </c>
      <c r="H29" s="364">
        <f t="shared" si="22"/>
        <v>945.01000000000033</v>
      </c>
      <c r="I29" s="364">
        <f t="shared" si="22"/>
        <v>1039.5110000000004</v>
      </c>
      <c r="J29" s="364">
        <f t="shared" si="22"/>
        <v>1143.4621000000006</v>
      </c>
      <c r="K29" s="364">
        <f t="shared" si="22"/>
        <v>1257.8083100000008</v>
      </c>
      <c r="L29" s="364">
        <f t="shared" si="22"/>
        <v>1383.5891410000011</v>
      </c>
      <c r="M29" s="364">
        <f t="shared" si="22"/>
        <v>1521.9480551000013</v>
      </c>
      <c r="N29" s="364">
        <f t="shared" si="22"/>
        <v>1674.1428606100014</v>
      </c>
      <c r="O29" s="364">
        <f t="shared" si="22"/>
        <v>1841.5571466710016</v>
      </c>
      <c r="P29" s="364">
        <f t="shared" si="22"/>
        <v>2025.7128613381019</v>
      </c>
      <c r="Q29" s="395">
        <f>SUM(E29:P29)</f>
        <v>15182.841474719109</v>
      </c>
    </row>
    <row r="30" spans="2:17" x14ac:dyDescent="0.25">
      <c r="B30" s="357"/>
      <c r="D30" s="351"/>
      <c r="E30" s="351"/>
      <c r="F30" s="351"/>
      <c r="G30" s="351"/>
      <c r="H30" s="351"/>
      <c r="I30" s="351"/>
      <c r="J30" s="351"/>
      <c r="K30" s="351"/>
      <c r="L30" s="351"/>
      <c r="M30" s="351"/>
      <c r="N30" s="351"/>
      <c r="O30" s="351"/>
      <c r="P30" s="351"/>
      <c r="Q30" s="394"/>
    </row>
    <row r="31" spans="2:17" x14ac:dyDescent="0.25">
      <c r="B31" s="357"/>
      <c r="D31" s="351"/>
      <c r="E31" s="351"/>
      <c r="F31" s="351"/>
      <c r="G31" s="351"/>
      <c r="H31" s="351"/>
      <c r="I31" s="351"/>
      <c r="J31" s="351"/>
      <c r="K31" s="351"/>
      <c r="L31" s="351"/>
      <c r="M31" s="351"/>
      <c r="N31" s="351"/>
      <c r="O31" s="351"/>
      <c r="P31" s="351"/>
      <c r="Q31" s="394"/>
    </row>
    <row r="32" spans="2:17" x14ac:dyDescent="0.25">
      <c r="B32" s="357"/>
      <c r="D32" s="351"/>
      <c r="E32" s="351"/>
      <c r="F32" s="351"/>
      <c r="G32" s="351"/>
      <c r="H32" s="351"/>
      <c r="I32" s="351"/>
      <c r="J32" s="351"/>
      <c r="K32" s="351"/>
      <c r="L32" s="351"/>
      <c r="M32" s="351"/>
      <c r="N32" s="351"/>
      <c r="O32" s="351"/>
      <c r="P32" s="351"/>
      <c r="Q32" s="394"/>
    </row>
    <row r="33" spans="2:17" x14ac:dyDescent="0.25">
      <c r="B33" s="357"/>
      <c r="D33" s="351"/>
      <c r="E33" s="351"/>
      <c r="F33" s="351"/>
      <c r="G33" s="351"/>
      <c r="H33" s="351"/>
      <c r="I33" s="351"/>
      <c r="J33" s="351"/>
      <c r="K33" s="351"/>
      <c r="L33" s="351"/>
      <c r="M33" s="351"/>
      <c r="N33" s="351"/>
      <c r="O33" s="351"/>
      <c r="P33" s="351"/>
      <c r="Q33" s="394"/>
    </row>
    <row r="34" spans="2:17" x14ac:dyDescent="0.25">
      <c r="B34" s="357"/>
      <c r="D34" s="351"/>
      <c r="E34" s="351"/>
      <c r="F34" s="351"/>
      <c r="G34" s="351"/>
      <c r="H34" s="351"/>
      <c r="I34" s="351"/>
      <c r="J34" s="351"/>
      <c r="K34" s="351"/>
      <c r="L34" s="351"/>
      <c r="M34" s="351"/>
      <c r="N34" s="351"/>
      <c r="O34" s="351"/>
      <c r="P34" s="351"/>
      <c r="Q34" s="394"/>
    </row>
    <row r="35" spans="2:17" x14ac:dyDescent="0.25">
      <c r="B35" s="357"/>
      <c r="D35" s="351"/>
      <c r="E35" s="351"/>
      <c r="F35" s="351"/>
      <c r="G35" s="351"/>
      <c r="H35" s="351"/>
      <c r="I35" s="351"/>
      <c r="J35" s="351"/>
      <c r="K35" s="351"/>
      <c r="L35" s="351"/>
      <c r="M35" s="351"/>
      <c r="N35" s="351"/>
      <c r="O35" s="351"/>
      <c r="P35" s="351"/>
      <c r="Q35" s="394"/>
    </row>
    <row r="36" spans="2:17" x14ac:dyDescent="0.25">
      <c r="B36" s="357"/>
      <c r="D36" s="351"/>
      <c r="E36" s="351"/>
      <c r="F36" s="351"/>
      <c r="G36" s="351"/>
      <c r="H36" s="351"/>
      <c r="I36" s="351"/>
      <c r="J36" s="351"/>
      <c r="K36" s="351"/>
      <c r="L36" s="351"/>
      <c r="M36" s="351"/>
      <c r="N36" s="351"/>
      <c r="O36" s="351"/>
      <c r="P36" s="351"/>
      <c r="Q36" s="394"/>
    </row>
    <row r="37" spans="2:17" x14ac:dyDescent="0.25">
      <c r="B37" s="357"/>
      <c r="D37" s="351"/>
      <c r="E37" s="351"/>
      <c r="F37" s="351"/>
      <c r="G37" s="351"/>
      <c r="H37" s="351"/>
      <c r="I37" s="351"/>
      <c r="J37" s="351"/>
      <c r="K37" s="351"/>
      <c r="L37" s="351"/>
      <c r="M37" s="351"/>
      <c r="N37" s="351"/>
      <c r="O37" s="351"/>
      <c r="P37" s="351"/>
      <c r="Q37" s="394"/>
    </row>
    <row r="38" spans="2:17" x14ac:dyDescent="0.25">
      <c r="B38" s="358" t="s">
        <v>530</v>
      </c>
    </row>
    <row r="39" spans="2:17" x14ac:dyDescent="0.25">
      <c r="B39" s="347" t="str">
        <f>Orcado!B33</f>
        <v>Custo de Implementação</v>
      </c>
      <c r="D39" s="393">
        <v>0</v>
      </c>
      <c r="E39" s="393">
        <v>0</v>
      </c>
      <c r="F39" s="392">
        <f t="shared" ref="F39:P39" si="23">E39</f>
        <v>0</v>
      </c>
      <c r="G39" s="392">
        <f t="shared" si="23"/>
        <v>0</v>
      </c>
      <c r="H39" s="392">
        <f t="shared" si="23"/>
        <v>0</v>
      </c>
      <c r="I39" s="392">
        <f t="shared" si="23"/>
        <v>0</v>
      </c>
      <c r="J39" s="392">
        <f t="shared" si="23"/>
        <v>0</v>
      </c>
      <c r="K39" s="392">
        <f t="shared" si="23"/>
        <v>0</v>
      </c>
      <c r="L39" s="392">
        <f t="shared" si="23"/>
        <v>0</v>
      </c>
      <c r="M39" s="392">
        <f t="shared" si="23"/>
        <v>0</v>
      </c>
      <c r="N39" s="392">
        <f t="shared" si="23"/>
        <v>0</v>
      </c>
      <c r="O39" s="392">
        <f t="shared" si="23"/>
        <v>0</v>
      </c>
      <c r="P39" s="392">
        <f t="shared" si="23"/>
        <v>0</v>
      </c>
      <c r="Q39" s="391">
        <f t="shared" ref="Q39:Q52" si="24">SUM(D39:P39)</f>
        <v>0</v>
      </c>
    </row>
    <row r="40" spans="2:17" x14ac:dyDescent="0.25">
      <c r="B40" s="347" t="str">
        <f>Orcado!B34</f>
        <v>Custo da Operação</v>
      </c>
      <c r="D40" s="393"/>
      <c r="E40" s="393"/>
      <c r="F40" s="392">
        <f t="shared" ref="F40:P40" si="25">E40</f>
        <v>0</v>
      </c>
      <c r="G40" s="392">
        <f t="shared" si="25"/>
        <v>0</v>
      </c>
      <c r="H40" s="392">
        <f t="shared" si="25"/>
        <v>0</v>
      </c>
      <c r="I40" s="392">
        <f t="shared" si="25"/>
        <v>0</v>
      </c>
      <c r="J40" s="392">
        <f t="shared" si="25"/>
        <v>0</v>
      </c>
      <c r="K40" s="392">
        <f t="shared" si="25"/>
        <v>0</v>
      </c>
      <c r="L40" s="392">
        <f t="shared" si="25"/>
        <v>0</v>
      </c>
      <c r="M40" s="392">
        <f t="shared" si="25"/>
        <v>0</v>
      </c>
      <c r="N40" s="392">
        <f t="shared" si="25"/>
        <v>0</v>
      </c>
      <c r="O40" s="392">
        <f t="shared" si="25"/>
        <v>0</v>
      </c>
      <c r="P40" s="392">
        <f t="shared" si="25"/>
        <v>0</v>
      </c>
      <c r="Q40" s="391">
        <f t="shared" si="24"/>
        <v>0</v>
      </c>
    </row>
    <row r="41" spans="2:17" x14ac:dyDescent="0.25">
      <c r="B41" s="347" t="str">
        <f>Orcado!B35</f>
        <v>Custos de Treinamento</v>
      </c>
      <c r="D41" s="393"/>
      <c r="E41" s="393"/>
      <c r="F41" s="392">
        <f t="shared" ref="F41:P41" si="26">E41</f>
        <v>0</v>
      </c>
      <c r="G41" s="392">
        <f t="shared" si="26"/>
        <v>0</v>
      </c>
      <c r="H41" s="392">
        <f t="shared" si="26"/>
        <v>0</v>
      </c>
      <c r="I41" s="392">
        <f t="shared" si="26"/>
        <v>0</v>
      </c>
      <c r="J41" s="392">
        <f t="shared" si="26"/>
        <v>0</v>
      </c>
      <c r="K41" s="392">
        <f t="shared" si="26"/>
        <v>0</v>
      </c>
      <c r="L41" s="392">
        <f t="shared" si="26"/>
        <v>0</v>
      </c>
      <c r="M41" s="392">
        <f t="shared" si="26"/>
        <v>0</v>
      </c>
      <c r="N41" s="392">
        <f t="shared" si="26"/>
        <v>0</v>
      </c>
      <c r="O41" s="392">
        <f t="shared" si="26"/>
        <v>0</v>
      </c>
      <c r="P41" s="392">
        <f t="shared" si="26"/>
        <v>0</v>
      </c>
      <c r="Q41" s="391">
        <f t="shared" si="24"/>
        <v>0</v>
      </c>
    </row>
    <row r="42" spans="2:17" x14ac:dyDescent="0.25">
      <c r="B42" s="357" t="str">
        <f>Orcado!B36</f>
        <v>Custo</v>
      </c>
      <c r="D42" s="393"/>
      <c r="E42" s="393"/>
      <c r="F42" s="392">
        <f t="shared" ref="F42:P42" si="27">E42</f>
        <v>0</v>
      </c>
      <c r="G42" s="392">
        <f t="shared" si="27"/>
        <v>0</v>
      </c>
      <c r="H42" s="392">
        <f t="shared" si="27"/>
        <v>0</v>
      </c>
      <c r="I42" s="392">
        <f t="shared" si="27"/>
        <v>0</v>
      </c>
      <c r="J42" s="392">
        <f t="shared" si="27"/>
        <v>0</v>
      </c>
      <c r="K42" s="392">
        <f t="shared" si="27"/>
        <v>0</v>
      </c>
      <c r="L42" s="392">
        <f t="shared" si="27"/>
        <v>0</v>
      </c>
      <c r="M42" s="392">
        <f t="shared" si="27"/>
        <v>0</v>
      </c>
      <c r="N42" s="392">
        <f t="shared" si="27"/>
        <v>0</v>
      </c>
      <c r="O42" s="392">
        <f t="shared" si="27"/>
        <v>0</v>
      </c>
      <c r="P42" s="392">
        <f t="shared" si="27"/>
        <v>0</v>
      </c>
      <c r="Q42" s="391">
        <f t="shared" si="24"/>
        <v>0</v>
      </c>
    </row>
    <row r="43" spans="2:17" x14ac:dyDescent="0.25">
      <c r="B43" s="357" t="str">
        <f>Orcado!B37</f>
        <v>Custo</v>
      </c>
      <c r="D43" s="393"/>
      <c r="E43" s="393"/>
      <c r="F43" s="392">
        <f t="shared" ref="F43:P43" si="28">E43</f>
        <v>0</v>
      </c>
      <c r="G43" s="392">
        <f t="shared" si="28"/>
        <v>0</v>
      </c>
      <c r="H43" s="392">
        <f t="shared" si="28"/>
        <v>0</v>
      </c>
      <c r="I43" s="392">
        <f t="shared" si="28"/>
        <v>0</v>
      </c>
      <c r="J43" s="392">
        <f t="shared" si="28"/>
        <v>0</v>
      </c>
      <c r="K43" s="392">
        <f t="shared" si="28"/>
        <v>0</v>
      </c>
      <c r="L43" s="392">
        <f t="shared" si="28"/>
        <v>0</v>
      </c>
      <c r="M43" s="392">
        <f t="shared" si="28"/>
        <v>0</v>
      </c>
      <c r="N43" s="392">
        <f t="shared" si="28"/>
        <v>0</v>
      </c>
      <c r="O43" s="392">
        <f t="shared" si="28"/>
        <v>0</v>
      </c>
      <c r="P43" s="392">
        <f t="shared" si="28"/>
        <v>0</v>
      </c>
      <c r="Q43" s="391">
        <f t="shared" si="24"/>
        <v>0</v>
      </c>
    </row>
    <row r="44" spans="2:17" x14ac:dyDescent="0.25">
      <c r="B44" s="357" t="str">
        <f>Orcado!B38</f>
        <v>Custo</v>
      </c>
      <c r="D44" s="393"/>
      <c r="E44" s="393"/>
      <c r="F44" s="392">
        <f t="shared" ref="F44:P44" si="29">E44</f>
        <v>0</v>
      </c>
      <c r="G44" s="392">
        <f t="shared" si="29"/>
        <v>0</v>
      </c>
      <c r="H44" s="392">
        <f t="shared" si="29"/>
        <v>0</v>
      </c>
      <c r="I44" s="392">
        <f t="shared" si="29"/>
        <v>0</v>
      </c>
      <c r="J44" s="392">
        <f t="shared" si="29"/>
        <v>0</v>
      </c>
      <c r="K44" s="392">
        <f t="shared" si="29"/>
        <v>0</v>
      </c>
      <c r="L44" s="392">
        <f t="shared" si="29"/>
        <v>0</v>
      </c>
      <c r="M44" s="392">
        <f t="shared" si="29"/>
        <v>0</v>
      </c>
      <c r="N44" s="392">
        <f t="shared" si="29"/>
        <v>0</v>
      </c>
      <c r="O44" s="392">
        <f t="shared" si="29"/>
        <v>0</v>
      </c>
      <c r="P44" s="392">
        <f t="shared" si="29"/>
        <v>0</v>
      </c>
      <c r="Q44" s="391">
        <f t="shared" si="24"/>
        <v>0</v>
      </c>
    </row>
    <row r="45" spans="2:17" x14ac:dyDescent="0.25">
      <c r="B45" s="357" t="str">
        <f>Orcado!B39</f>
        <v>Custo</v>
      </c>
      <c r="D45" s="393"/>
      <c r="E45" s="393"/>
      <c r="F45" s="392">
        <f t="shared" ref="F45:P45" si="30">E45</f>
        <v>0</v>
      </c>
      <c r="G45" s="392">
        <f t="shared" si="30"/>
        <v>0</v>
      </c>
      <c r="H45" s="392">
        <f t="shared" si="30"/>
        <v>0</v>
      </c>
      <c r="I45" s="392">
        <f t="shared" si="30"/>
        <v>0</v>
      </c>
      <c r="J45" s="392">
        <f t="shared" si="30"/>
        <v>0</v>
      </c>
      <c r="K45" s="392">
        <f t="shared" si="30"/>
        <v>0</v>
      </c>
      <c r="L45" s="392">
        <f t="shared" si="30"/>
        <v>0</v>
      </c>
      <c r="M45" s="392">
        <f t="shared" si="30"/>
        <v>0</v>
      </c>
      <c r="N45" s="392">
        <f t="shared" si="30"/>
        <v>0</v>
      </c>
      <c r="O45" s="392">
        <f t="shared" si="30"/>
        <v>0</v>
      </c>
      <c r="P45" s="392">
        <f t="shared" si="30"/>
        <v>0</v>
      </c>
      <c r="Q45" s="391">
        <f t="shared" si="24"/>
        <v>0</v>
      </c>
    </row>
    <row r="46" spans="2:17" x14ac:dyDescent="0.25">
      <c r="B46" s="357" t="str">
        <f>Orcado!B40</f>
        <v>Custo</v>
      </c>
      <c r="D46" s="393"/>
      <c r="E46" s="393"/>
      <c r="F46" s="392">
        <f t="shared" ref="F46:P46" si="31">E46</f>
        <v>0</v>
      </c>
      <c r="G46" s="392">
        <f t="shared" si="31"/>
        <v>0</v>
      </c>
      <c r="H46" s="392">
        <f t="shared" si="31"/>
        <v>0</v>
      </c>
      <c r="I46" s="392">
        <f t="shared" si="31"/>
        <v>0</v>
      </c>
      <c r="J46" s="392">
        <f t="shared" si="31"/>
        <v>0</v>
      </c>
      <c r="K46" s="392">
        <f t="shared" si="31"/>
        <v>0</v>
      </c>
      <c r="L46" s="392">
        <f t="shared" si="31"/>
        <v>0</v>
      </c>
      <c r="M46" s="392">
        <f t="shared" si="31"/>
        <v>0</v>
      </c>
      <c r="N46" s="392">
        <f t="shared" si="31"/>
        <v>0</v>
      </c>
      <c r="O46" s="392">
        <f t="shared" si="31"/>
        <v>0</v>
      </c>
      <c r="P46" s="392">
        <f t="shared" si="31"/>
        <v>0</v>
      </c>
      <c r="Q46" s="391">
        <f t="shared" si="24"/>
        <v>0</v>
      </c>
    </row>
    <row r="47" spans="2:17" x14ac:dyDescent="0.25">
      <c r="B47" s="357" t="str">
        <f>Orcado!B41</f>
        <v>Custo</v>
      </c>
      <c r="D47" s="393"/>
      <c r="E47" s="393"/>
      <c r="F47" s="392">
        <f t="shared" ref="F47:P47" si="32">E47</f>
        <v>0</v>
      </c>
      <c r="G47" s="392">
        <f t="shared" si="32"/>
        <v>0</v>
      </c>
      <c r="H47" s="392">
        <f t="shared" si="32"/>
        <v>0</v>
      </c>
      <c r="I47" s="392">
        <f t="shared" si="32"/>
        <v>0</v>
      </c>
      <c r="J47" s="392">
        <f t="shared" si="32"/>
        <v>0</v>
      </c>
      <c r="K47" s="392">
        <f t="shared" si="32"/>
        <v>0</v>
      </c>
      <c r="L47" s="392">
        <f t="shared" si="32"/>
        <v>0</v>
      </c>
      <c r="M47" s="392">
        <f t="shared" si="32"/>
        <v>0</v>
      </c>
      <c r="N47" s="392">
        <f t="shared" si="32"/>
        <v>0</v>
      </c>
      <c r="O47" s="392">
        <f t="shared" si="32"/>
        <v>0</v>
      </c>
      <c r="P47" s="392">
        <f t="shared" si="32"/>
        <v>0</v>
      </c>
      <c r="Q47" s="391">
        <f t="shared" si="24"/>
        <v>0</v>
      </c>
    </row>
    <row r="48" spans="2:17" x14ac:dyDescent="0.25">
      <c r="B48" s="357" t="str">
        <f>Orcado!B42</f>
        <v>Custo</v>
      </c>
      <c r="D48" s="393"/>
      <c r="E48" s="393"/>
      <c r="F48" s="392">
        <f t="shared" ref="F48:P48" si="33">E48</f>
        <v>0</v>
      </c>
      <c r="G48" s="392">
        <f t="shared" si="33"/>
        <v>0</v>
      </c>
      <c r="H48" s="392">
        <f t="shared" si="33"/>
        <v>0</v>
      </c>
      <c r="I48" s="392">
        <f t="shared" si="33"/>
        <v>0</v>
      </c>
      <c r="J48" s="392">
        <f t="shared" si="33"/>
        <v>0</v>
      </c>
      <c r="K48" s="392">
        <f t="shared" si="33"/>
        <v>0</v>
      </c>
      <c r="L48" s="392">
        <f t="shared" si="33"/>
        <v>0</v>
      </c>
      <c r="M48" s="392">
        <f t="shared" si="33"/>
        <v>0</v>
      </c>
      <c r="N48" s="392">
        <f t="shared" si="33"/>
        <v>0</v>
      </c>
      <c r="O48" s="392">
        <f t="shared" si="33"/>
        <v>0</v>
      </c>
      <c r="P48" s="392">
        <f t="shared" si="33"/>
        <v>0</v>
      </c>
      <c r="Q48" s="391">
        <f t="shared" si="24"/>
        <v>0</v>
      </c>
    </row>
    <row r="49" spans="2:17" x14ac:dyDescent="0.25">
      <c r="B49" s="357" t="str">
        <f>Orcado!B43</f>
        <v>Custo</v>
      </c>
      <c r="D49" s="393"/>
      <c r="E49" s="393"/>
      <c r="F49" s="392">
        <f t="shared" ref="F49:P49" si="34">E49</f>
        <v>0</v>
      </c>
      <c r="G49" s="392">
        <f t="shared" si="34"/>
        <v>0</v>
      </c>
      <c r="H49" s="392">
        <f t="shared" si="34"/>
        <v>0</v>
      </c>
      <c r="I49" s="392">
        <f t="shared" si="34"/>
        <v>0</v>
      </c>
      <c r="J49" s="392">
        <f t="shared" si="34"/>
        <v>0</v>
      </c>
      <c r="K49" s="392">
        <f t="shared" si="34"/>
        <v>0</v>
      </c>
      <c r="L49" s="392">
        <f t="shared" si="34"/>
        <v>0</v>
      </c>
      <c r="M49" s="392">
        <f t="shared" si="34"/>
        <v>0</v>
      </c>
      <c r="N49" s="392">
        <f t="shared" si="34"/>
        <v>0</v>
      </c>
      <c r="O49" s="392">
        <f t="shared" si="34"/>
        <v>0</v>
      </c>
      <c r="P49" s="392">
        <f t="shared" si="34"/>
        <v>0</v>
      </c>
      <c r="Q49" s="391">
        <f t="shared" si="24"/>
        <v>0</v>
      </c>
    </row>
    <row r="50" spans="2:17" x14ac:dyDescent="0.25">
      <c r="B50" s="357" t="str">
        <f>Orcado!B44</f>
        <v>Custo</v>
      </c>
      <c r="D50" s="393"/>
      <c r="E50" s="393"/>
      <c r="F50" s="392">
        <f t="shared" ref="F50:P50" si="35">E50</f>
        <v>0</v>
      </c>
      <c r="G50" s="392">
        <f t="shared" si="35"/>
        <v>0</v>
      </c>
      <c r="H50" s="392">
        <f t="shared" si="35"/>
        <v>0</v>
      </c>
      <c r="I50" s="392">
        <f t="shared" si="35"/>
        <v>0</v>
      </c>
      <c r="J50" s="392">
        <f t="shared" si="35"/>
        <v>0</v>
      </c>
      <c r="K50" s="392">
        <f t="shared" si="35"/>
        <v>0</v>
      </c>
      <c r="L50" s="392">
        <f t="shared" si="35"/>
        <v>0</v>
      </c>
      <c r="M50" s="392">
        <f t="shared" si="35"/>
        <v>0</v>
      </c>
      <c r="N50" s="392">
        <f t="shared" si="35"/>
        <v>0</v>
      </c>
      <c r="O50" s="392">
        <f t="shared" si="35"/>
        <v>0</v>
      </c>
      <c r="P50" s="392">
        <f t="shared" si="35"/>
        <v>0</v>
      </c>
      <c r="Q50" s="391">
        <f t="shared" si="24"/>
        <v>0</v>
      </c>
    </row>
    <row r="51" spans="2:17" x14ac:dyDescent="0.25">
      <c r="B51" s="357" t="str">
        <f>Orcado!B45</f>
        <v>Custo</v>
      </c>
      <c r="D51" s="393"/>
      <c r="E51" s="393"/>
      <c r="F51" s="392">
        <f t="shared" ref="F51:P51" si="36">E51</f>
        <v>0</v>
      </c>
      <c r="G51" s="392">
        <f t="shared" si="36"/>
        <v>0</v>
      </c>
      <c r="H51" s="392">
        <f t="shared" si="36"/>
        <v>0</v>
      </c>
      <c r="I51" s="392">
        <f t="shared" si="36"/>
        <v>0</v>
      </c>
      <c r="J51" s="392">
        <f t="shared" si="36"/>
        <v>0</v>
      </c>
      <c r="K51" s="392">
        <f t="shared" si="36"/>
        <v>0</v>
      </c>
      <c r="L51" s="392">
        <f t="shared" si="36"/>
        <v>0</v>
      </c>
      <c r="M51" s="392">
        <f t="shared" si="36"/>
        <v>0</v>
      </c>
      <c r="N51" s="392">
        <f t="shared" si="36"/>
        <v>0</v>
      </c>
      <c r="O51" s="392">
        <f t="shared" si="36"/>
        <v>0</v>
      </c>
      <c r="P51" s="392">
        <f t="shared" si="36"/>
        <v>0</v>
      </c>
      <c r="Q51" s="391">
        <f t="shared" si="24"/>
        <v>0</v>
      </c>
    </row>
    <row r="52" spans="2:17" x14ac:dyDescent="0.25">
      <c r="B52" s="347" t="str">
        <f>Orcado!B46</f>
        <v>Outros custos</v>
      </c>
      <c r="D52" s="393"/>
      <c r="E52" s="393"/>
      <c r="F52" s="392">
        <f t="shared" ref="F52:P52" si="37">E52</f>
        <v>0</v>
      </c>
      <c r="G52" s="392">
        <f t="shared" si="37"/>
        <v>0</v>
      </c>
      <c r="H52" s="392">
        <f t="shared" si="37"/>
        <v>0</v>
      </c>
      <c r="I52" s="392">
        <f t="shared" si="37"/>
        <v>0</v>
      </c>
      <c r="J52" s="392">
        <f t="shared" si="37"/>
        <v>0</v>
      </c>
      <c r="K52" s="392">
        <f t="shared" si="37"/>
        <v>0</v>
      </c>
      <c r="L52" s="392">
        <f t="shared" si="37"/>
        <v>0</v>
      </c>
      <c r="M52" s="392">
        <f t="shared" si="37"/>
        <v>0</v>
      </c>
      <c r="N52" s="392">
        <f t="shared" si="37"/>
        <v>0</v>
      </c>
      <c r="O52" s="392">
        <f t="shared" si="37"/>
        <v>0</v>
      </c>
      <c r="P52" s="392">
        <f t="shared" si="37"/>
        <v>0</v>
      </c>
      <c r="Q52" s="391">
        <f t="shared" si="24"/>
        <v>0</v>
      </c>
    </row>
    <row r="56" spans="2:17" x14ac:dyDescent="0.25">
      <c r="E56" s="354"/>
      <c r="F56" s="354"/>
      <c r="G56" s="354"/>
      <c r="H56" s="354"/>
      <c r="I56" s="354"/>
    </row>
    <row r="57" spans="2:17" x14ac:dyDescent="0.25">
      <c r="B57" s="353" t="s">
        <v>524</v>
      </c>
    </row>
    <row r="58" spans="2:17" x14ac:dyDescent="0.25">
      <c r="B58" s="350"/>
      <c r="C58" s="349"/>
      <c r="D58" s="349"/>
    </row>
    <row r="59" spans="2:17" x14ac:dyDescent="0.25">
      <c r="B59" s="350" t="s">
        <v>523</v>
      </c>
      <c r="C59" s="352"/>
      <c r="D59" s="352">
        <f>NPV(Param!D4,E5:P5)+D5</f>
        <v>265498.43882479239</v>
      </c>
    </row>
    <row r="60" spans="2:17" x14ac:dyDescent="0.25">
      <c r="B60" s="350" t="s">
        <v>522</v>
      </c>
      <c r="D60" s="351">
        <f>COUNTIF(D6:P6,"&lt;=0")</f>
        <v>0</v>
      </c>
    </row>
    <row r="61" spans="2:17" x14ac:dyDescent="0.25">
      <c r="B61" s="350" t="s">
        <v>521</v>
      </c>
      <c r="C61" s="349"/>
      <c r="D61" s="348">
        <f>SUM(E5:P5)/-D5</f>
        <v>-1.0340024086155086</v>
      </c>
    </row>
  </sheetData>
  <mergeCells count="2">
    <mergeCell ref="B2:C2"/>
    <mergeCell ref="E2:P2"/>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BB04E-D5F1-4079-A9FB-ED142905BBEE}">
  <dimension ref="B2:H18"/>
  <sheetViews>
    <sheetView showGridLines="0" workbookViewId="0">
      <selection activeCell="E25" sqref="E25:K25"/>
    </sheetView>
  </sheetViews>
  <sheetFormatPr defaultColWidth="9.28515625" defaultRowHeight="15" x14ac:dyDescent="0.25"/>
  <cols>
    <col min="1" max="1" width="2.7109375" style="347" customWidth="1"/>
    <col min="2" max="2" width="10.7109375" style="347" customWidth="1"/>
    <col min="3" max="3" width="9.28515625" style="347"/>
    <col min="4" max="4" width="10" style="347" customWidth="1"/>
    <col min="5" max="6" width="9.28515625" style="347"/>
    <col min="7" max="7" width="10.28515625" style="347" customWidth="1"/>
    <col min="8" max="16384" width="9.28515625" style="347"/>
  </cols>
  <sheetData>
    <row r="2" spans="2:8" ht="30" x14ac:dyDescent="0.25">
      <c r="B2" s="412" t="s">
        <v>561</v>
      </c>
      <c r="C2" s="629" t="s">
        <v>560</v>
      </c>
      <c r="D2" s="630"/>
      <c r="E2" s="629" t="s">
        <v>559</v>
      </c>
      <c r="F2" s="630"/>
      <c r="G2" s="413" t="s">
        <v>558</v>
      </c>
      <c r="H2" s="413" t="s">
        <v>557</v>
      </c>
    </row>
    <row r="3" spans="2:8" ht="45" x14ac:dyDescent="0.25">
      <c r="B3" s="412" t="s">
        <v>552</v>
      </c>
      <c r="C3" s="411" t="s">
        <v>486</v>
      </c>
      <c r="D3" s="410" t="s">
        <v>488</v>
      </c>
      <c r="E3" s="411" t="s">
        <v>486</v>
      </c>
      <c r="F3" s="410" t="s">
        <v>488</v>
      </c>
      <c r="G3" s="409" t="s">
        <v>556</v>
      </c>
      <c r="H3" s="409"/>
    </row>
    <row r="4" spans="2:8" x14ac:dyDescent="0.25">
      <c r="B4" s="408">
        <v>0</v>
      </c>
      <c r="C4" s="373">
        <f>HLOOKUP($B4,Orcado!$D$4:$P$5,2,FALSE)</f>
        <v>110000</v>
      </c>
      <c r="D4" s="373">
        <f>HLOOKUP($B4,Realizado!$D$4:$P$5,2,FALSE)</f>
        <v>158109</v>
      </c>
      <c r="E4" s="373">
        <f>C4</f>
        <v>110000</v>
      </c>
      <c r="F4" s="373">
        <f>D4</f>
        <v>158109</v>
      </c>
      <c r="G4" s="373">
        <f t="shared" ref="G4:G16" si="0">F4-E4</f>
        <v>48109</v>
      </c>
      <c r="H4" s="407">
        <f>IF(E4=0,"",F4/E4-1)</f>
        <v>0.43735454545454555</v>
      </c>
    </row>
    <row r="5" spans="2:8" x14ac:dyDescent="0.25">
      <c r="B5" s="408">
        <f t="shared" ref="B5:B16" si="1">B4+1</f>
        <v>1</v>
      </c>
      <c r="C5" s="373">
        <f>HLOOKUP($B5,Orcado!$D$4:$P$5,2,FALSE)</f>
        <v>10388.230000000003</v>
      </c>
      <c r="D5" s="373">
        <f>HLOOKUP($B5,Realizado!$D$4:$P$5,2,FALSE)</f>
        <v>7987.4</v>
      </c>
      <c r="E5" s="373">
        <f t="shared" ref="E5:E16" si="2">E4+C5</f>
        <v>120388.23000000001</v>
      </c>
      <c r="F5" s="373">
        <f t="shared" ref="F5:F16" si="3">F4+D5</f>
        <v>166096.4</v>
      </c>
      <c r="G5" s="373">
        <f t="shared" si="0"/>
        <v>45708.169999999984</v>
      </c>
      <c r="H5" s="407">
        <f t="shared" ref="H5:H16" si="4">F5/E5-1</f>
        <v>0.37967307933674221</v>
      </c>
    </row>
    <row r="6" spans="2:8" x14ac:dyDescent="0.25">
      <c r="B6" s="408">
        <f t="shared" si="1"/>
        <v>2</v>
      </c>
      <c r="C6" s="373">
        <f>HLOOKUP($B6,Orcado!$D$4:$P$5,2,FALSE)</f>
        <v>10305.458000000001</v>
      </c>
      <c r="D6" s="373">
        <f>HLOOKUP($B6,Realizado!$D$4:$P$5,2,FALSE)</f>
        <v>8708.1400000000012</v>
      </c>
      <c r="E6" s="373">
        <f t="shared" si="2"/>
        <v>130693.68800000001</v>
      </c>
      <c r="F6" s="373">
        <f t="shared" si="3"/>
        <v>174804.54</v>
      </c>
      <c r="G6" s="373">
        <f t="shared" si="0"/>
        <v>44110.851999999999</v>
      </c>
      <c r="H6" s="407">
        <f t="shared" si="4"/>
        <v>0.33751325465695015</v>
      </c>
    </row>
    <row r="7" spans="2:8" x14ac:dyDescent="0.25">
      <c r="B7" s="408">
        <f t="shared" si="1"/>
        <v>3</v>
      </c>
      <c r="C7" s="373">
        <f>HLOOKUP($B7,Orcado!$D$4:$P$5,2,FALSE)</f>
        <v>7986.0038000000013</v>
      </c>
      <c r="D7" s="373">
        <f>HLOOKUP($B7,Realizado!$D$4:$P$5,2,FALSE)</f>
        <v>9500.9540000000015</v>
      </c>
      <c r="E7" s="373">
        <f t="shared" si="2"/>
        <v>138679.6918</v>
      </c>
      <c r="F7" s="373">
        <f t="shared" si="3"/>
        <v>184305.49400000001</v>
      </c>
      <c r="G7" s="373">
        <f t="shared" si="0"/>
        <v>45625.802200000006</v>
      </c>
      <c r="H7" s="407">
        <f t="shared" si="4"/>
        <v>0.32900132389824077</v>
      </c>
    </row>
    <row r="8" spans="2:8" x14ac:dyDescent="0.25">
      <c r="B8" s="408">
        <f t="shared" si="1"/>
        <v>4</v>
      </c>
      <c r="C8" s="373">
        <f>HLOOKUP($B8,Orcado!$D$4:$P$5,2,FALSE)</f>
        <v>8234.6041800000021</v>
      </c>
      <c r="D8" s="373">
        <f>HLOOKUP($B8,Realizado!$D$4:$P$5,2,FALSE)</f>
        <v>10373.049400000004</v>
      </c>
      <c r="E8" s="373">
        <f t="shared" si="2"/>
        <v>146914.29598</v>
      </c>
      <c r="F8" s="373">
        <f t="shared" si="3"/>
        <v>194678.54340000002</v>
      </c>
      <c r="G8" s="373">
        <f t="shared" si="0"/>
        <v>47764.247420000029</v>
      </c>
      <c r="H8" s="407">
        <f t="shared" si="4"/>
        <v>0.32511640273933828</v>
      </c>
    </row>
    <row r="9" spans="2:8" x14ac:dyDescent="0.25">
      <c r="B9" s="408">
        <f t="shared" si="1"/>
        <v>5</v>
      </c>
      <c r="C9" s="373">
        <f>HLOOKUP($B9,Orcado!$D$4:$P$5,2,FALSE)</f>
        <v>9058.0645980000045</v>
      </c>
      <c r="D9" s="373">
        <f>HLOOKUP($B9,Realizado!$D$4:$P$5,2,FALSE)</f>
        <v>11332.354340000004</v>
      </c>
      <c r="E9" s="373">
        <f t="shared" si="2"/>
        <v>155972.36057799999</v>
      </c>
      <c r="F9" s="373">
        <f t="shared" si="3"/>
        <v>206010.89774000001</v>
      </c>
      <c r="G9" s="373">
        <f t="shared" si="0"/>
        <v>50038.537162000022</v>
      </c>
      <c r="H9" s="407">
        <f t="shared" si="4"/>
        <v>0.32081669455131645</v>
      </c>
    </row>
    <row r="10" spans="2:8" x14ac:dyDescent="0.25">
      <c r="B10" s="408">
        <f t="shared" si="1"/>
        <v>6</v>
      </c>
      <c r="C10" s="373">
        <f>HLOOKUP($B10,Orcado!$D$4:$P$5,2,FALSE)</f>
        <v>9963.8710578000027</v>
      </c>
      <c r="D10" s="373">
        <f>HLOOKUP($B10,Realizado!$D$4:$P$5,2,FALSE)</f>
        <v>12387.589774000005</v>
      </c>
      <c r="E10" s="373">
        <f t="shared" si="2"/>
        <v>165936.23163579998</v>
      </c>
      <c r="F10" s="373">
        <f t="shared" si="3"/>
        <v>218398.48751400001</v>
      </c>
      <c r="G10" s="373">
        <f t="shared" si="0"/>
        <v>52462.255878200027</v>
      </c>
      <c r="H10" s="407">
        <f t="shared" si="4"/>
        <v>0.31615913752546332</v>
      </c>
    </row>
    <row r="11" spans="2:8" x14ac:dyDescent="0.25">
      <c r="B11" s="408">
        <f t="shared" si="1"/>
        <v>7</v>
      </c>
      <c r="C11" s="373">
        <f>HLOOKUP($B11,Orcado!$D$4:$P$5,2,FALSE)</f>
        <v>10960.258163580005</v>
      </c>
      <c r="D11" s="373">
        <f>HLOOKUP($B11,Realizado!$D$4:$P$5,2,FALSE)</f>
        <v>13548.348751400006</v>
      </c>
      <c r="E11" s="373">
        <f t="shared" si="2"/>
        <v>176896.48979937998</v>
      </c>
      <c r="F11" s="373">
        <f t="shared" si="3"/>
        <v>231946.83626540002</v>
      </c>
      <c r="G11" s="373">
        <f t="shared" si="0"/>
        <v>55050.346466020041</v>
      </c>
      <c r="H11" s="407">
        <f t="shared" si="4"/>
        <v>0.31120089792880101</v>
      </c>
    </row>
    <row r="12" spans="2:8" x14ac:dyDescent="0.25">
      <c r="B12" s="408">
        <f t="shared" si="1"/>
        <v>8</v>
      </c>
      <c r="C12" s="373">
        <f>HLOOKUP($B12,Orcado!$D$4:$P$5,2,FALSE)</f>
        <v>12056.283979938009</v>
      </c>
      <c r="D12" s="373">
        <f>HLOOKUP($B12,Realizado!$D$4:$P$5,2,FALSE)</f>
        <v>14825.183626540009</v>
      </c>
      <c r="E12" s="373">
        <f t="shared" si="2"/>
        <v>188952.773779318</v>
      </c>
      <c r="F12" s="373">
        <f t="shared" si="3"/>
        <v>246772.01989194003</v>
      </c>
      <c r="G12" s="373">
        <f t="shared" si="0"/>
        <v>57819.24611262203</v>
      </c>
      <c r="H12" s="407">
        <f t="shared" si="4"/>
        <v>0.30599839820372443</v>
      </c>
    </row>
    <row r="13" spans="2:8" x14ac:dyDescent="0.25">
      <c r="B13" s="408">
        <f t="shared" si="1"/>
        <v>9</v>
      </c>
      <c r="C13" s="373">
        <f>HLOOKUP($B13,Orcado!$D$4:$P$5,2,FALSE)</f>
        <v>13261.912377931811</v>
      </c>
      <c r="D13" s="373">
        <f>HLOOKUP($B13,Realizado!$D$4:$P$5,2,FALSE)</f>
        <v>16229.701989194014</v>
      </c>
      <c r="E13" s="373">
        <f t="shared" si="2"/>
        <v>202214.68615724982</v>
      </c>
      <c r="F13" s="373">
        <f t="shared" si="3"/>
        <v>263001.72188113403</v>
      </c>
      <c r="G13" s="373">
        <f t="shared" si="0"/>
        <v>60787.035723884212</v>
      </c>
      <c r="H13" s="407">
        <f t="shared" si="4"/>
        <v>0.30060643407775989</v>
      </c>
    </row>
    <row r="14" spans="2:8" x14ac:dyDescent="0.25">
      <c r="B14" s="408">
        <f t="shared" si="1"/>
        <v>10</v>
      </c>
      <c r="C14" s="373">
        <f>HLOOKUP($B14,Orcado!$D$4:$P$5,2,FALSE)</f>
        <v>14588.103615724989</v>
      </c>
      <c r="D14" s="373">
        <f>HLOOKUP($B14,Realizado!$D$4:$P$5,2,FALSE)</f>
        <v>17774.672188113411</v>
      </c>
      <c r="E14" s="373">
        <f t="shared" si="2"/>
        <v>216802.78977297479</v>
      </c>
      <c r="F14" s="373">
        <f t="shared" si="3"/>
        <v>280776.39406924741</v>
      </c>
      <c r="G14" s="373">
        <f t="shared" si="0"/>
        <v>63973.604296272621</v>
      </c>
      <c r="H14" s="407">
        <f t="shared" si="4"/>
        <v>0.29507740358536272</v>
      </c>
    </row>
    <row r="15" spans="2:8" x14ac:dyDescent="0.25">
      <c r="B15" s="408">
        <f t="shared" si="1"/>
        <v>11</v>
      </c>
      <c r="C15" s="373">
        <f>HLOOKUP($B15,Orcado!$D$4:$P$5,2,FALSE)</f>
        <v>16046.91397729749</v>
      </c>
      <c r="D15" s="373">
        <f>HLOOKUP($B15,Realizado!$D$4:$P$5,2,FALSE)</f>
        <v>19474.139406924758</v>
      </c>
      <c r="E15" s="373">
        <f t="shared" si="2"/>
        <v>232849.70375027228</v>
      </c>
      <c r="F15" s="373">
        <f t="shared" si="3"/>
        <v>300250.53347617219</v>
      </c>
      <c r="G15" s="373">
        <f t="shared" si="0"/>
        <v>67400.829725899908</v>
      </c>
      <c r="H15" s="407">
        <f t="shared" si="4"/>
        <v>0.28946066342513488</v>
      </c>
    </row>
    <row r="16" spans="2:8" x14ac:dyDescent="0.25">
      <c r="B16" s="408">
        <f t="shared" si="1"/>
        <v>12</v>
      </c>
      <c r="C16" s="373">
        <f>HLOOKUP($B16,Orcado!$D$4:$P$5,2,FALSE)</f>
        <v>17651.605375027244</v>
      </c>
      <c r="D16" s="373">
        <f>HLOOKUP($B16,Realizado!$D$4:$P$5,2,FALSE)</f>
        <v>21343.553347617235</v>
      </c>
      <c r="E16" s="373">
        <f t="shared" si="2"/>
        <v>250501.30912529954</v>
      </c>
      <c r="F16" s="373">
        <f t="shared" si="3"/>
        <v>321594.0868237894</v>
      </c>
      <c r="G16" s="373">
        <f t="shared" si="0"/>
        <v>71092.777698489866</v>
      </c>
      <c r="H16" s="407">
        <f t="shared" si="4"/>
        <v>0.28380202062309223</v>
      </c>
    </row>
    <row r="17" spans="2:4" x14ac:dyDescent="0.25">
      <c r="B17" s="406" t="s">
        <v>134</v>
      </c>
      <c r="C17" s="373">
        <f>SUM(C4:C16)</f>
        <v>250501.30912529954</v>
      </c>
      <c r="D17" s="373">
        <f>SUM(D4:D16)</f>
        <v>321594.0868237894</v>
      </c>
    </row>
    <row r="18" spans="2:4" x14ac:dyDescent="0.25">
      <c r="B18" s="382" t="s">
        <v>555</v>
      </c>
      <c r="C18" s="351">
        <f>C17-D17</f>
        <v>-71092.777698489866</v>
      </c>
    </row>
  </sheetData>
  <mergeCells count="2">
    <mergeCell ref="C2:D2"/>
    <mergeCell ref="E2:F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ACD5-552B-46F2-89F2-C2808BC250D2}">
  <dimension ref="B2:D22"/>
  <sheetViews>
    <sheetView showGridLines="0" workbookViewId="0">
      <selection activeCell="F20" sqref="F20"/>
    </sheetView>
  </sheetViews>
  <sheetFormatPr defaultColWidth="9.28515625" defaultRowHeight="15" x14ac:dyDescent="0.25"/>
  <cols>
    <col min="1" max="1" width="2.7109375" style="347" customWidth="1"/>
    <col min="2" max="2" width="16.5703125" style="347" customWidth="1"/>
    <col min="3" max="3" width="35.42578125" style="347" customWidth="1"/>
    <col min="4" max="4" width="33.42578125" style="347" customWidth="1"/>
    <col min="5" max="16384" width="9.28515625" style="347"/>
  </cols>
  <sheetData>
    <row r="2" spans="2:4" x14ac:dyDescent="0.25">
      <c r="B2" s="346" t="s">
        <v>580</v>
      </c>
      <c r="C2" s="346" t="s">
        <v>579</v>
      </c>
      <c r="D2" s="346" t="s">
        <v>578</v>
      </c>
    </row>
    <row r="3" spans="2:4" x14ac:dyDescent="0.25">
      <c r="B3" s="425" t="s">
        <v>547</v>
      </c>
      <c r="C3" s="425"/>
      <c r="D3" s="425" t="s">
        <v>577</v>
      </c>
    </row>
    <row r="4" spans="2:4" x14ac:dyDescent="0.25">
      <c r="B4" s="424" t="s">
        <v>576</v>
      </c>
      <c r="C4" s="424" t="s">
        <v>575</v>
      </c>
      <c r="D4" s="423">
        <v>0.06</v>
      </c>
    </row>
    <row r="5" spans="2:4" x14ac:dyDescent="0.25">
      <c r="B5" s="422"/>
      <c r="C5" s="422" t="s">
        <v>574</v>
      </c>
      <c r="D5" s="421"/>
    </row>
    <row r="6" spans="2:4" x14ac:dyDescent="0.25">
      <c r="B6" s="422"/>
      <c r="C6" s="422" t="s">
        <v>573</v>
      </c>
      <c r="D6" s="421"/>
    </row>
    <row r="7" spans="2:4" x14ac:dyDescent="0.25">
      <c r="B7" s="422"/>
      <c r="C7" s="422" t="s">
        <v>572</v>
      </c>
      <c r="D7" s="421"/>
    </row>
    <row r="8" spans="2:4" x14ac:dyDescent="0.25">
      <c r="B8" s="422"/>
      <c r="C8" s="422" t="s">
        <v>571</v>
      </c>
      <c r="D8" s="421"/>
    </row>
    <row r="9" spans="2:4" x14ac:dyDescent="0.25">
      <c r="B9" s="422"/>
      <c r="C9" s="422" t="s">
        <v>570</v>
      </c>
      <c r="D9" s="421"/>
    </row>
    <row r="10" spans="2:4" x14ac:dyDescent="0.25">
      <c r="B10" s="422"/>
      <c r="C10" s="422" t="s">
        <v>569</v>
      </c>
      <c r="D10" s="421"/>
    </row>
    <row r="11" spans="2:4" x14ac:dyDescent="0.25">
      <c r="B11" s="420"/>
      <c r="C11" s="420" t="s">
        <v>568</v>
      </c>
      <c r="D11" s="419"/>
    </row>
    <row r="15" spans="2:4" x14ac:dyDescent="0.25">
      <c r="B15" s="347" t="s">
        <v>567</v>
      </c>
    </row>
    <row r="16" spans="2:4" x14ac:dyDescent="0.25">
      <c r="B16" s="382" t="s">
        <v>566</v>
      </c>
    </row>
    <row r="17" spans="2:3" x14ac:dyDescent="0.25">
      <c r="B17" s="358" t="s">
        <v>565</v>
      </c>
      <c r="C17" s="418" t="s">
        <v>564</v>
      </c>
    </row>
    <row r="18" spans="2:3" x14ac:dyDescent="0.25">
      <c r="B18" s="358" t="s">
        <v>563</v>
      </c>
      <c r="C18" s="417">
        <v>45891</v>
      </c>
    </row>
    <row r="19" spans="2:3" x14ac:dyDescent="0.25">
      <c r="B19" s="358" t="s">
        <v>550</v>
      </c>
      <c r="C19" s="416" t="s">
        <v>562</v>
      </c>
    </row>
    <row r="20" spans="2:3" x14ac:dyDescent="0.25">
      <c r="B20" s="412"/>
      <c r="C20" s="415"/>
    </row>
    <row r="21" spans="2:3" x14ac:dyDescent="0.25">
      <c r="B21" s="358"/>
      <c r="C21" s="414"/>
    </row>
    <row r="22" spans="2:3" x14ac:dyDescent="0.25">
      <c r="B22" s="358"/>
      <c r="C22" s="41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DE829-E643-4782-BB4C-B4775CE07DBB}">
  <sheetPr codeName="Plan3"/>
  <dimension ref="A5:U20"/>
  <sheetViews>
    <sheetView showGridLines="0" topLeftCell="A11" workbookViewId="0">
      <selection activeCell="C14" sqref="C14:J14"/>
    </sheetView>
  </sheetViews>
  <sheetFormatPr defaultRowHeight="12.75" x14ac:dyDescent="0.2"/>
  <cols>
    <col min="1" max="1" width="3" customWidth="1"/>
    <col min="2" max="2" width="13.5703125" customWidth="1"/>
    <col min="3" max="3" width="4" customWidth="1"/>
    <col min="4" max="4" width="4.85546875" customWidth="1"/>
    <col min="5" max="10" width="11" customWidth="1"/>
    <col min="11" max="11" width="3" customWidth="1"/>
    <col min="12" max="255" width="9" customWidth="1"/>
  </cols>
  <sheetData>
    <row r="5" spans="1:21" ht="18" customHeight="1" x14ac:dyDescent="0.2">
      <c r="B5" s="637" t="s">
        <v>596</v>
      </c>
      <c r="C5" s="638"/>
      <c r="D5" s="638"/>
      <c r="E5" s="638"/>
      <c r="F5" s="638"/>
      <c r="G5" s="638"/>
      <c r="H5" s="638"/>
      <c r="I5" s="638"/>
      <c r="J5" s="639"/>
    </row>
    <row r="6" spans="1:21" ht="18" customHeight="1" x14ac:dyDescent="0.2">
      <c r="A6" s="429"/>
      <c r="B6" s="640" t="s">
        <v>566</v>
      </c>
      <c r="C6" s="641"/>
      <c r="D6" s="641"/>
      <c r="E6" s="642" t="s">
        <v>595</v>
      </c>
      <c r="F6" s="642"/>
      <c r="G6" s="642"/>
      <c r="H6" s="642"/>
      <c r="I6" s="642"/>
      <c r="J6" s="643"/>
      <c r="K6" s="429"/>
      <c r="L6" s="429"/>
      <c r="M6" s="429"/>
      <c r="N6" s="429"/>
      <c r="O6" s="429"/>
      <c r="P6" s="429"/>
      <c r="Q6" s="429"/>
      <c r="R6" s="429"/>
      <c r="S6" s="429"/>
      <c r="T6" s="429"/>
      <c r="U6" s="429"/>
    </row>
    <row r="7" spans="1:21" ht="18" customHeight="1" x14ac:dyDescent="0.2">
      <c r="A7" s="429"/>
      <c r="B7" s="640" t="s">
        <v>594</v>
      </c>
      <c r="C7" s="641"/>
      <c r="D7" s="641"/>
      <c r="E7" s="642" t="s">
        <v>593</v>
      </c>
      <c r="F7" s="642"/>
      <c r="G7" s="642"/>
      <c r="H7" s="642"/>
      <c r="I7" s="642"/>
      <c r="J7" s="643"/>
      <c r="K7" s="429"/>
      <c r="O7" s="429"/>
      <c r="P7" s="429"/>
      <c r="Q7" s="429"/>
      <c r="R7" s="429"/>
      <c r="S7" s="429"/>
      <c r="T7" s="429"/>
      <c r="U7" s="429"/>
    </row>
    <row r="8" spans="1:21" ht="18" customHeight="1" x14ac:dyDescent="0.2">
      <c r="A8" s="429"/>
      <c r="B8" s="644" t="s">
        <v>592</v>
      </c>
      <c r="C8" s="645"/>
      <c r="D8" s="645"/>
      <c r="E8" s="646">
        <v>45944</v>
      </c>
      <c r="F8" s="646"/>
      <c r="G8" s="646"/>
      <c r="H8" s="646"/>
      <c r="I8" s="646"/>
      <c r="J8" s="647"/>
      <c r="K8" s="429"/>
      <c r="O8" s="429"/>
      <c r="P8" s="429"/>
      <c r="Q8" s="429"/>
      <c r="R8" s="429"/>
      <c r="S8" s="429"/>
      <c r="T8" s="429"/>
      <c r="U8" s="429"/>
    </row>
    <row r="9" spans="1:21" ht="18" customHeight="1" x14ac:dyDescent="0.2">
      <c r="B9" s="634" t="s">
        <v>591</v>
      </c>
      <c r="C9" s="635"/>
      <c r="D9" s="635"/>
      <c r="E9" s="635"/>
      <c r="F9" s="635"/>
      <c r="G9" s="635"/>
      <c r="H9" s="635"/>
      <c r="I9" s="635"/>
      <c r="J9" s="636"/>
    </row>
    <row r="10" spans="1:21" s="14" customFormat="1" ht="30" customHeight="1" x14ac:dyDescent="0.2">
      <c r="B10" s="428">
        <v>45908</v>
      </c>
      <c r="C10" s="631" t="s">
        <v>590</v>
      </c>
      <c r="D10" s="632"/>
      <c r="E10" s="632"/>
      <c r="F10" s="632"/>
      <c r="G10" s="632"/>
      <c r="H10" s="632"/>
      <c r="I10" s="632"/>
      <c r="J10" s="633"/>
    </row>
    <row r="11" spans="1:21" s="14" customFormat="1" ht="30" customHeight="1" x14ac:dyDescent="0.2">
      <c r="B11" s="428">
        <v>45915</v>
      </c>
      <c r="C11" s="648" t="s">
        <v>589</v>
      </c>
      <c r="D11" s="649"/>
      <c r="E11" s="649"/>
      <c r="F11" s="649"/>
      <c r="G11" s="649"/>
      <c r="H11" s="649"/>
      <c r="I11" s="649"/>
      <c r="J11" s="650"/>
    </row>
    <row r="12" spans="1:21" s="14" customFormat="1" ht="30" customHeight="1" x14ac:dyDescent="0.2">
      <c r="B12" s="428">
        <v>45915</v>
      </c>
      <c r="C12" s="648" t="s">
        <v>588</v>
      </c>
      <c r="D12" s="649"/>
      <c r="E12" s="649"/>
      <c r="F12" s="649"/>
      <c r="G12" s="649"/>
      <c r="H12" s="649"/>
      <c r="I12" s="649"/>
      <c r="J12" s="650"/>
    </row>
    <row r="13" spans="1:21" s="14" customFormat="1" ht="30" customHeight="1" x14ac:dyDescent="0.2">
      <c r="B13" s="428">
        <v>45922</v>
      </c>
      <c r="C13" s="648" t="s">
        <v>587</v>
      </c>
      <c r="D13" s="649"/>
      <c r="E13" s="649"/>
      <c r="F13" s="649"/>
      <c r="G13" s="649"/>
      <c r="H13" s="649"/>
      <c r="I13" s="649"/>
      <c r="J13" s="650"/>
    </row>
    <row r="14" spans="1:21" s="14" customFormat="1" ht="30" customHeight="1" x14ac:dyDescent="0.2">
      <c r="B14" s="428">
        <v>45922</v>
      </c>
      <c r="C14" s="648" t="s">
        <v>586</v>
      </c>
      <c r="D14" s="649"/>
      <c r="E14" s="649"/>
      <c r="F14" s="649"/>
      <c r="G14" s="649"/>
      <c r="H14" s="649"/>
      <c r="I14" s="649"/>
      <c r="J14" s="650"/>
    </row>
    <row r="15" spans="1:21" s="14" customFormat="1" ht="30" customHeight="1" x14ac:dyDescent="0.2">
      <c r="B15" s="428">
        <v>45922</v>
      </c>
      <c r="C15" s="648" t="s">
        <v>585</v>
      </c>
      <c r="D15" s="649"/>
      <c r="E15" s="649"/>
      <c r="F15" s="649"/>
      <c r="G15" s="649"/>
      <c r="H15" s="649"/>
      <c r="I15" s="649"/>
      <c r="J15" s="650"/>
    </row>
    <row r="16" spans="1:21" s="14" customFormat="1" ht="30" customHeight="1" x14ac:dyDescent="0.2">
      <c r="B16" s="428">
        <v>45929</v>
      </c>
      <c r="C16" s="651" t="s">
        <v>584</v>
      </c>
      <c r="D16" s="652"/>
      <c r="E16" s="652"/>
      <c r="F16" s="652"/>
      <c r="G16" s="652"/>
      <c r="H16" s="652"/>
      <c r="I16" s="652"/>
      <c r="J16" s="653"/>
    </row>
    <row r="17" spans="2:10" s="14" customFormat="1" ht="30" customHeight="1" x14ac:dyDescent="0.2">
      <c r="B17" s="428">
        <v>45929</v>
      </c>
      <c r="C17" s="648" t="s">
        <v>583</v>
      </c>
      <c r="D17" s="649"/>
      <c r="E17" s="649"/>
      <c r="F17" s="649"/>
      <c r="G17" s="649"/>
      <c r="H17" s="649"/>
      <c r="I17" s="649"/>
      <c r="J17" s="650"/>
    </row>
    <row r="18" spans="2:10" s="14" customFormat="1" ht="30" customHeight="1" x14ac:dyDescent="0.2">
      <c r="B18" s="428">
        <v>45936</v>
      </c>
      <c r="C18" s="651" t="s">
        <v>582</v>
      </c>
      <c r="D18" s="652"/>
      <c r="E18" s="652"/>
      <c r="F18" s="652"/>
      <c r="G18" s="652"/>
      <c r="H18" s="652"/>
      <c r="I18" s="652"/>
      <c r="J18" s="653"/>
    </row>
    <row r="19" spans="2:10" s="14" customFormat="1" ht="30" customHeight="1" x14ac:dyDescent="0.2">
      <c r="B19" s="428">
        <v>45936</v>
      </c>
      <c r="C19" s="648" t="s">
        <v>581</v>
      </c>
      <c r="D19" s="649"/>
      <c r="E19" s="649"/>
      <c r="F19" s="649"/>
      <c r="G19" s="649"/>
      <c r="H19" s="649"/>
      <c r="I19" s="649"/>
      <c r="J19" s="650"/>
    </row>
    <row r="20" spans="2:10" s="14" customFormat="1" ht="30" customHeight="1" x14ac:dyDescent="0.2">
      <c r="B20" s="427"/>
      <c r="C20" s="426"/>
      <c r="D20" s="426"/>
      <c r="E20" s="426"/>
      <c r="F20" s="426"/>
      <c r="G20" s="426"/>
      <c r="H20" s="426"/>
      <c r="I20" s="426"/>
      <c r="J20" s="426"/>
    </row>
  </sheetData>
  <mergeCells count="18">
    <mergeCell ref="C15:J15"/>
    <mergeCell ref="C19:J19"/>
    <mergeCell ref="C11:J11"/>
    <mergeCell ref="C12:J12"/>
    <mergeCell ref="C13:J13"/>
    <mergeCell ref="C14:J14"/>
    <mergeCell ref="C17:J17"/>
    <mergeCell ref="C18:J18"/>
    <mergeCell ref="C16:J16"/>
    <mergeCell ref="C10:J10"/>
    <mergeCell ref="B9:J9"/>
    <mergeCell ref="B5:J5"/>
    <mergeCell ref="B6:D6"/>
    <mergeCell ref="E6:J6"/>
    <mergeCell ref="E7:J7"/>
    <mergeCell ref="B7:D7"/>
    <mergeCell ref="B8:D8"/>
    <mergeCell ref="E8:J8"/>
  </mergeCells>
  <pageMargins left="0.75" right="0.75" top="1" bottom="1" header="0.49212598499999999" footer="0.49212598499999999"/>
  <pageSetup paperSize="9" orientation="portrait" horizontalDpi="300"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A331-FB5E-4748-B932-7F81591F33B0}">
  <sheetPr codeName="Plan1">
    <pageSetUpPr fitToPage="1"/>
  </sheetPr>
  <dimension ref="A1:AJ27"/>
  <sheetViews>
    <sheetView showGridLines="0" zoomScaleNormal="100" workbookViewId="0">
      <pane xSplit="7" ySplit="7" topLeftCell="H8" activePane="bottomRight" state="frozen"/>
      <selection pane="topRight" activeCell="G1" sqref="G1"/>
      <selection pane="bottomLeft" activeCell="A5" sqref="A5"/>
      <selection pane="bottomRight" activeCell="G14" sqref="G14"/>
    </sheetView>
  </sheetViews>
  <sheetFormatPr defaultRowHeight="11.25" x14ac:dyDescent="0.2"/>
  <cols>
    <col min="1" max="1" width="4.7109375" style="430" customWidth="1"/>
    <col min="2" max="2" width="11.5703125" style="430" customWidth="1"/>
    <col min="3" max="3" width="9.7109375" style="430" customWidth="1"/>
    <col min="4" max="4" width="26.28515625" style="430" customWidth="1"/>
    <col min="5" max="5" width="25.85546875" style="433" customWidth="1"/>
    <col min="6" max="6" width="17.5703125" style="430" customWidth="1"/>
    <col min="7" max="7" width="13.140625" style="432" customWidth="1"/>
    <col min="8" max="8" width="13.7109375" style="432" customWidth="1"/>
    <col min="9" max="9" width="28.85546875" style="431" customWidth="1"/>
    <col min="10" max="10" width="27.7109375" style="431" customWidth="1"/>
    <col min="11" max="11" width="17.42578125" style="430" hidden="1" customWidth="1"/>
    <col min="12" max="12" width="15.7109375" style="430" customWidth="1"/>
    <col min="13" max="15" width="9.140625" style="430"/>
    <col min="16" max="16" width="8.85546875" style="430" customWidth="1"/>
    <col min="17" max="17" width="10" style="430" customWidth="1"/>
    <col min="18" max="18" width="14.28515625" style="430" customWidth="1"/>
    <col min="19" max="16384" width="9.140625" style="430"/>
  </cols>
  <sheetData>
    <row r="1" spans="1:36" ht="13.5" thickBot="1" x14ac:dyDescent="0.25">
      <c r="A1" s="656" t="s">
        <v>707</v>
      </c>
      <c r="B1" s="657"/>
      <c r="C1" s="657"/>
      <c r="D1" s="657"/>
      <c r="E1" s="657"/>
      <c r="F1" s="657"/>
      <c r="G1" s="657"/>
      <c r="H1" s="478"/>
      <c r="I1" s="477"/>
      <c r="J1" s="477"/>
      <c r="K1" s="476"/>
      <c r="L1" s="475"/>
      <c r="AF1" s="675" t="s">
        <v>706</v>
      </c>
      <c r="AG1" s="676"/>
      <c r="AH1" s="49"/>
      <c r="AI1" s="667" t="s">
        <v>705</v>
      </c>
      <c r="AJ1" s="668"/>
    </row>
    <row r="2" spans="1:36" ht="12.75" x14ac:dyDescent="0.2">
      <c r="A2" s="658"/>
      <c r="B2" s="659"/>
      <c r="C2" s="659"/>
      <c r="D2" s="659"/>
      <c r="E2" s="659"/>
      <c r="F2" s="659"/>
      <c r="G2" s="659"/>
      <c r="H2" s="473"/>
      <c r="I2" s="472"/>
      <c r="J2" s="472"/>
      <c r="K2" s="471"/>
      <c r="L2" s="470"/>
      <c r="AF2" s="469"/>
      <c r="AG2" s="468"/>
      <c r="AH2" s="49"/>
      <c r="AI2" s="467"/>
      <c r="AJ2" s="466"/>
    </row>
    <row r="3" spans="1:36" ht="12.75" hidden="1" x14ac:dyDescent="0.2">
      <c r="A3" s="658"/>
      <c r="B3" s="659"/>
      <c r="C3" s="659"/>
      <c r="D3" s="659"/>
      <c r="E3" s="659"/>
      <c r="F3" s="659"/>
      <c r="G3" s="659"/>
      <c r="H3" s="473"/>
      <c r="I3" s="472"/>
      <c r="J3" s="474"/>
      <c r="K3" s="471"/>
      <c r="L3" s="470"/>
      <c r="AF3" s="469"/>
      <c r="AG3" s="468"/>
      <c r="AH3" s="49"/>
      <c r="AI3" s="467"/>
      <c r="AJ3" s="466"/>
    </row>
    <row r="4" spans="1:36" ht="12.75" hidden="1" x14ac:dyDescent="0.2">
      <c r="A4" s="658" t="str">
        <f>Capa!E6</f>
        <v>Calogic</v>
      </c>
      <c r="B4" s="659"/>
      <c r="C4" s="659"/>
      <c r="D4" s="659"/>
      <c r="E4" s="659"/>
      <c r="F4" s="659"/>
      <c r="G4" s="659"/>
      <c r="H4" s="473"/>
      <c r="I4" s="472"/>
      <c r="J4" s="472"/>
      <c r="K4" s="471"/>
      <c r="L4" s="470"/>
      <c r="AF4" s="469"/>
      <c r="AG4" s="468"/>
      <c r="AH4" s="49"/>
      <c r="AI4" s="467"/>
      <c r="AJ4" s="466"/>
    </row>
    <row r="5" spans="1:36" ht="26.25" thickBot="1" x14ac:dyDescent="0.25">
      <c r="A5" s="660"/>
      <c r="B5" s="661"/>
      <c r="C5" s="661"/>
      <c r="D5" s="661"/>
      <c r="E5" s="661"/>
      <c r="F5" s="661"/>
      <c r="G5" s="661"/>
      <c r="H5" s="464"/>
      <c r="I5" s="465"/>
      <c r="J5" s="465"/>
      <c r="K5" s="464"/>
      <c r="L5" s="463"/>
      <c r="AF5" s="462" t="s">
        <v>704</v>
      </c>
      <c r="AG5" s="461">
        <v>1</v>
      </c>
      <c r="AH5" s="49"/>
      <c r="AI5" s="462" t="s">
        <v>703</v>
      </c>
      <c r="AJ5" s="461">
        <v>1</v>
      </c>
    </row>
    <row r="6" spans="1:36" ht="9.75" customHeight="1" thickBot="1" x14ac:dyDescent="0.25">
      <c r="A6" s="662" t="s">
        <v>702</v>
      </c>
      <c r="B6" s="460" t="s">
        <v>701</v>
      </c>
      <c r="C6" s="460"/>
      <c r="D6" s="664" t="s">
        <v>700</v>
      </c>
      <c r="E6" s="665"/>
      <c r="F6" s="666"/>
      <c r="G6" s="654" t="s">
        <v>699</v>
      </c>
      <c r="H6" s="654" t="s">
        <v>698</v>
      </c>
      <c r="I6" s="669" t="s">
        <v>697</v>
      </c>
      <c r="J6" s="671" t="s">
        <v>696</v>
      </c>
      <c r="K6" s="459"/>
      <c r="L6" s="673" t="s">
        <v>695</v>
      </c>
      <c r="AF6" s="454" t="s">
        <v>694</v>
      </c>
      <c r="AG6" s="453">
        <v>2</v>
      </c>
      <c r="AH6" s="49"/>
      <c r="AI6" s="454" t="s">
        <v>693</v>
      </c>
      <c r="AJ6" s="453">
        <v>2</v>
      </c>
    </row>
    <row r="7" spans="1:36" s="452" customFormat="1" ht="34.5" thickBot="1" x14ac:dyDescent="0.25">
      <c r="A7" s="663"/>
      <c r="B7" s="458" t="s">
        <v>692</v>
      </c>
      <c r="C7" s="458" t="s">
        <v>691</v>
      </c>
      <c r="D7" s="457" t="s">
        <v>690</v>
      </c>
      <c r="E7" s="457" t="s">
        <v>689</v>
      </c>
      <c r="F7" s="456" t="s">
        <v>688</v>
      </c>
      <c r="G7" s="655"/>
      <c r="H7" s="655"/>
      <c r="I7" s="670"/>
      <c r="J7" s="672"/>
      <c r="K7" s="455" t="s">
        <v>687</v>
      </c>
      <c r="L7" s="674"/>
      <c r="AF7" s="454" t="s">
        <v>686</v>
      </c>
      <c r="AG7" s="453">
        <v>3</v>
      </c>
      <c r="AH7" s="49"/>
      <c r="AI7" s="454" t="s">
        <v>685</v>
      </c>
      <c r="AJ7" s="453">
        <v>3</v>
      </c>
    </row>
    <row r="8" spans="1:36" ht="45" x14ac:dyDescent="0.2">
      <c r="A8" s="443" t="s">
        <v>684</v>
      </c>
      <c r="B8" s="442" t="s">
        <v>57</v>
      </c>
      <c r="C8" s="442" t="s">
        <v>674</v>
      </c>
      <c r="D8" s="440" t="s">
        <v>683</v>
      </c>
      <c r="E8" s="441" t="s">
        <v>682</v>
      </c>
      <c r="F8" s="440" t="s">
        <v>681</v>
      </c>
      <c r="G8" s="439"/>
      <c r="H8" s="438" t="s">
        <v>609</v>
      </c>
      <c r="I8" s="450" t="s">
        <v>680</v>
      </c>
      <c r="J8" s="449" t="s">
        <v>679</v>
      </c>
      <c r="K8" s="435" t="s">
        <v>678</v>
      </c>
      <c r="L8" s="434">
        <f>Qualificar!K8</f>
        <v>1.0000000000000002E-2</v>
      </c>
      <c r="AF8" s="445" t="s">
        <v>677</v>
      </c>
      <c r="AG8" s="444">
        <v>4</v>
      </c>
      <c r="AH8" s="446"/>
      <c r="AI8" s="445" t="s">
        <v>676</v>
      </c>
      <c r="AJ8" s="444">
        <v>4</v>
      </c>
    </row>
    <row r="9" spans="1:36" ht="45.75" thickBot="1" x14ac:dyDescent="0.25">
      <c r="A9" s="443" t="s">
        <v>675</v>
      </c>
      <c r="B9" s="442" t="s">
        <v>631</v>
      </c>
      <c r="C9" s="442" t="s">
        <v>674</v>
      </c>
      <c r="D9" s="440" t="s">
        <v>673</v>
      </c>
      <c r="E9" s="441" t="s">
        <v>672</v>
      </c>
      <c r="F9" s="440" t="s">
        <v>658</v>
      </c>
      <c r="G9" s="439"/>
      <c r="H9" s="438" t="s">
        <v>657</v>
      </c>
      <c r="I9" s="450" t="s">
        <v>671</v>
      </c>
      <c r="J9" s="449" t="s">
        <v>670</v>
      </c>
      <c r="K9" s="435"/>
      <c r="L9" s="434">
        <f>Qualificar!K9</f>
        <v>0.32000000000000006</v>
      </c>
      <c r="AF9" s="448"/>
      <c r="AG9" s="447"/>
      <c r="AH9" s="446"/>
      <c r="AI9" s="445"/>
      <c r="AJ9" s="444"/>
    </row>
    <row r="10" spans="1:36" ht="34.5" thickBot="1" x14ac:dyDescent="0.25">
      <c r="A10" s="443" t="s">
        <v>669</v>
      </c>
      <c r="B10" s="442" t="s">
        <v>57</v>
      </c>
      <c r="C10" s="442" t="s">
        <v>668</v>
      </c>
      <c r="D10" s="440" t="s">
        <v>667</v>
      </c>
      <c r="E10" s="441" t="s">
        <v>666</v>
      </c>
      <c r="F10" s="440" t="s">
        <v>665</v>
      </c>
      <c r="G10" s="439"/>
      <c r="H10" s="438" t="s">
        <v>609</v>
      </c>
      <c r="I10" s="450" t="s">
        <v>664</v>
      </c>
      <c r="J10" s="449" t="s">
        <v>663</v>
      </c>
      <c r="K10" s="435"/>
      <c r="L10" s="434">
        <f>Qualificar!K10</f>
        <v>0.16000000000000003</v>
      </c>
      <c r="AF10" s="448"/>
      <c r="AG10" s="447"/>
      <c r="AH10" s="446"/>
      <c r="AI10" s="445"/>
      <c r="AJ10" s="444"/>
    </row>
    <row r="11" spans="1:36" ht="45.75" thickBot="1" x14ac:dyDescent="0.25">
      <c r="A11" s="443" t="s">
        <v>662</v>
      </c>
      <c r="B11" s="442" t="s">
        <v>631</v>
      </c>
      <c r="C11" s="442" t="s">
        <v>661</v>
      </c>
      <c r="D11" s="440" t="s">
        <v>660</v>
      </c>
      <c r="E11" s="441" t="s">
        <v>659</v>
      </c>
      <c r="F11" s="440" t="s">
        <v>658</v>
      </c>
      <c r="G11" s="439"/>
      <c r="H11" s="438" t="s">
        <v>657</v>
      </c>
      <c r="I11" s="450" t="s">
        <v>656</v>
      </c>
      <c r="J11" s="449" t="s">
        <v>655</v>
      </c>
      <c r="K11" s="435"/>
      <c r="L11" s="434">
        <f>Qualificar!K11</f>
        <v>0.32000000000000006</v>
      </c>
      <c r="AF11" s="448"/>
      <c r="AG11" s="447"/>
      <c r="AH11" s="446"/>
      <c r="AI11" s="445"/>
      <c r="AJ11" s="444"/>
    </row>
    <row r="12" spans="1:36" ht="45.75" thickBot="1" x14ac:dyDescent="0.25">
      <c r="A12" s="443" t="s">
        <v>654</v>
      </c>
      <c r="B12" s="442" t="s">
        <v>631</v>
      </c>
      <c r="C12" s="442" t="s">
        <v>653</v>
      </c>
      <c r="D12" s="440" t="s">
        <v>652</v>
      </c>
      <c r="E12" s="441" t="s">
        <v>651</v>
      </c>
      <c r="F12" s="440" t="s">
        <v>650</v>
      </c>
      <c r="G12" s="439"/>
      <c r="H12" s="438" t="s">
        <v>626</v>
      </c>
      <c r="I12" s="450" t="s">
        <v>649</v>
      </c>
      <c r="J12" s="450" t="s">
        <v>648</v>
      </c>
      <c r="K12" s="435"/>
      <c r="L12" s="434">
        <f>Qualificar!K12</f>
        <v>0.32000000000000006</v>
      </c>
      <c r="AF12" s="448"/>
      <c r="AG12" s="447"/>
      <c r="AH12" s="446"/>
      <c r="AI12" s="445"/>
      <c r="AJ12" s="444"/>
    </row>
    <row r="13" spans="1:36" ht="45.75" thickBot="1" x14ac:dyDescent="0.25">
      <c r="A13" s="443" t="s">
        <v>647</v>
      </c>
      <c r="B13" s="442" t="s">
        <v>646</v>
      </c>
      <c r="C13" s="442" t="s">
        <v>645</v>
      </c>
      <c r="D13" s="440" t="s">
        <v>644</v>
      </c>
      <c r="E13" s="441" t="s">
        <v>643</v>
      </c>
      <c r="F13" s="440" t="s">
        <v>642</v>
      </c>
      <c r="G13" s="439"/>
      <c r="H13" s="438" t="s">
        <v>609</v>
      </c>
      <c r="I13" s="450" t="s">
        <v>641</v>
      </c>
      <c r="J13" s="449" t="s">
        <v>640</v>
      </c>
      <c r="K13" s="435"/>
      <c r="L13" s="434">
        <f>Qualificar!K13</f>
        <v>0.16000000000000003</v>
      </c>
      <c r="AF13" s="448"/>
      <c r="AG13" s="447"/>
      <c r="AH13" s="446"/>
      <c r="AI13" s="445"/>
      <c r="AJ13" s="444"/>
    </row>
    <row r="14" spans="1:36" ht="34.5" thickBot="1" x14ac:dyDescent="0.25">
      <c r="A14" s="443" t="s">
        <v>639</v>
      </c>
      <c r="B14" s="442" t="s">
        <v>638</v>
      </c>
      <c r="C14" s="442" t="s">
        <v>622</v>
      </c>
      <c r="D14" s="440" t="s">
        <v>637</v>
      </c>
      <c r="E14" s="441" t="s">
        <v>636</v>
      </c>
      <c r="F14" s="440" t="s">
        <v>635</v>
      </c>
      <c r="G14" s="439"/>
      <c r="H14" s="438" t="s">
        <v>609</v>
      </c>
      <c r="I14" s="450" t="s">
        <v>634</v>
      </c>
      <c r="J14" s="449" t="s">
        <v>633</v>
      </c>
      <c r="K14" s="435"/>
      <c r="L14" s="434">
        <f>Qualificar!K14</f>
        <v>2.0000000000000004E-2</v>
      </c>
      <c r="AF14" s="448"/>
      <c r="AG14" s="447"/>
      <c r="AH14" s="446"/>
      <c r="AI14" s="445"/>
      <c r="AJ14" s="444"/>
    </row>
    <row r="15" spans="1:36" ht="34.5" thickBot="1" x14ac:dyDescent="0.25">
      <c r="A15" s="443" t="s">
        <v>632</v>
      </c>
      <c r="B15" s="442" t="s">
        <v>631</v>
      </c>
      <c r="C15" s="442" t="s">
        <v>630</v>
      </c>
      <c r="D15" s="440" t="s">
        <v>629</v>
      </c>
      <c r="E15" s="441" t="s">
        <v>628</v>
      </c>
      <c r="F15" s="440" t="s">
        <v>627</v>
      </c>
      <c r="G15" s="439"/>
      <c r="H15" s="438" t="s">
        <v>626</v>
      </c>
      <c r="I15" s="450" t="s">
        <v>625</v>
      </c>
      <c r="J15" s="450" t="s">
        <v>624</v>
      </c>
      <c r="K15" s="435"/>
      <c r="L15" s="434">
        <f>Qualificar!K15</f>
        <v>0.32000000000000006</v>
      </c>
      <c r="AF15" s="448"/>
      <c r="AG15" s="447"/>
      <c r="AH15" s="446"/>
      <c r="AI15" s="445"/>
      <c r="AJ15" s="444"/>
    </row>
    <row r="16" spans="1:36" ht="34.5" thickBot="1" x14ac:dyDescent="0.25">
      <c r="A16" s="443" t="s">
        <v>623</v>
      </c>
      <c r="B16" s="442" t="s">
        <v>57</v>
      </c>
      <c r="C16" s="442" t="s">
        <v>622</v>
      </c>
      <c r="D16" s="440" t="s">
        <v>621</v>
      </c>
      <c r="E16" s="441" t="s">
        <v>620</v>
      </c>
      <c r="F16" s="440" t="s">
        <v>619</v>
      </c>
      <c r="G16" s="439"/>
      <c r="H16" s="438" t="s">
        <v>618</v>
      </c>
      <c r="I16" s="451" t="s">
        <v>617</v>
      </c>
      <c r="J16" s="450" t="s">
        <v>616</v>
      </c>
      <c r="K16" s="435"/>
      <c r="L16" s="434"/>
      <c r="AF16" s="448"/>
      <c r="AG16" s="447"/>
      <c r="AH16" s="446"/>
      <c r="AI16" s="445"/>
      <c r="AJ16" s="444"/>
    </row>
    <row r="17" spans="1:36" ht="34.5" thickBot="1" x14ac:dyDescent="0.25">
      <c r="A17" s="443" t="s">
        <v>615</v>
      </c>
      <c r="B17" s="442" t="s">
        <v>614</v>
      </c>
      <c r="C17" s="442" t="s">
        <v>613</v>
      </c>
      <c r="D17" s="440" t="s">
        <v>612</v>
      </c>
      <c r="E17" s="441" t="s">
        <v>611</v>
      </c>
      <c r="F17" s="440" t="s">
        <v>610</v>
      </c>
      <c r="G17" s="439"/>
      <c r="H17" s="438" t="s">
        <v>609</v>
      </c>
      <c r="I17" s="450" t="s">
        <v>608</v>
      </c>
      <c r="J17" s="449" t="s">
        <v>607</v>
      </c>
      <c r="K17" s="435"/>
      <c r="L17" s="434"/>
      <c r="AF17" s="448"/>
      <c r="AG17" s="447"/>
      <c r="AH17" s="446"/>
      <c r="AI17" s="445"/>
      <c r="AJ17" s="444"/>
    </row>
    <row r="18" spans="1:36" ht="13.5" thickBot="1" x14ac:dyDescent="0.25">
      <c r="A18" s="443" t="s">
        <v>606</v>
      </c>
      <c r="B18" s="442"/>
      <c r="C18" s="442"/>
      <c r="D18" s="440"/>
      <c r="E18" s="441"/>
      <c r="F18" s="440"/>
      <c r="G18" s="439"/>
      <c r="H18" s="438"/>
      <c r="I18" s="437"/>
      <c r="J18" s="436"/>
      <c r="K18" s="435"/>
      <c r="L18" s="434"/>
      <c r="AF18" s="448"/>
      <c r="AG18" s="447"/>
      <c r="AH18" s="446"/>
      <c r="AI18" s="445"/>
      <c r="AJ18" s="444"/>
    </row>
    <row r="19" spans="1:36" ht="13.5" thickBot="1" x14ac:dyDescent="0.25">
      <c r="A19" s="443" t="s">
        <v>605</v>
      </c>
      <c r="B19" s="442"/>
      <c r="C19" s="442"/>
      <c r="D19" s="440"/>
      <c r="E19" s="441"/>
      <c r="F19" s="440"/>
      <c r="G19" s="439"/>
      <c r="H19" s="438"/>
      <c r="I19" s="437"/>
      <c r="J19" s="436"/>
      <c r="K19" s="435"/>
      <c r="L19" s="434"/>
      <c r="AF19" s="448"/>
      <c r="AG19" s="447"/>
      <c r="AH19" s="446"/>
      <c r="AI19" s="445"/>
      <c r="AJ19" s="444"/>
    </row>
    <row r="20" spans="1:36" x14ac:dyDescent="0.2">
      <c r="A20" s="443" t="s">
        <v>604</v>
      </c>
      <c r="B20" s="442"/>
      <c r="C20" s="442"/>
      <c r="D20" s="440"/>
      <c r="E20" s="441"/>
      <c r="F20" s="440"/>
      <c r="G20" s="439"/>
      <c r="H20" s="438"/>
      <c r="I20" s="437"/>
      <c r="J20" s="437"/>
      <c r="K20" s="435"/>
      <c r="L20" s="434"/>
    </row>
    <row r="21" spans="1:36" x14ac:dyDescent="0.2">
      <c r="A21" s="443" t="s">
        <v>603</v>
      </c>
      <c r="B21" s="442"/>
      <c r="C21" s="442"/>
      <c r="D21" s="440"/>
      <c r="E21" s="441"/>
      <c r="F21" s="440"/>
      <c r="G21" s="439"/>
      <c r="H21" s="438"/>
      <c r="I21" s="437"/>
      <c r="J21" s="436"/>
      <c r="K21" s="435"/>
      <c r="L21" s="434"/>
    </row>
    <row r="22" spans="1:36" x14ac:dyDescent="0.2">
      <c r="A22" s="443" t="s">
        <v>602</v>
      </c>
      <c r="B22" s="442"/>
      <c r="C22" s="442"/>
      <c r="D22" s="440"/>
      <c r="E22" s="441"/>
      <c r="F22" s="440"/>
      <c r="G22" s="439"/>
      <c r="H22" s="438"/>
      <c r="I22" s="437"/>
      <c r="J22" s="436"/>
      <c r="K22" s="435"/>
      <c r="L22" s="434"/>
    </row>
    <row r="23" spans="1:36" x14ac:dyDescent="0.2">
      <c r="A23" s="443" t="s">
        <v>601</v>
      </c>
      <c r="B23" s="442"/>
      <c r="C23" s="442"/>
      <c r="D23" s="440"/>
      <c r="E23" s="441"/>
      <c r="F23" s="440"/>
      <c r="G23" s="439"/>
      <c r="H23" s="438"/>
      <c r="I23" s="437"/>
      <c r="J23" s="436"/>
      <c r="K23" s="435"/>
      <c r="L23" s="434"/>
    </row>
    <row r="24" spans="1:36" x14ac:dyDescent="0.2">
      <c r="A24" s="443" t="s">
        <v>600</v>
      </c>
      <c r="B24" s="442"/>
      <c r="C24" s="442"/>
      <c r="D24" s="440"/>
      <c r="E24" s="441"/>
      <c r="F24" s="440"/>
      <c r="G24" s="439"/>
      <c r="H24" s="438"/>
      <c r="I24" s="437"/>
      <c r="J24" s="436"/>
      <c r="K24" s="435"/>
      <c r="L24" s="434"/>
    </row>
    <row r="25" spans="1:36" x14ac:dyDescent="0.2">
      <c r="A25" s="443" t="s">
        <v>599</v>
      </c>
      <c r="B25" s="442"/>
      <c r="C25" s="442"/>
      <c r="D25" s="440"/>
      <c r="E25" s="441"/>
      <c r="F25" s="440"/>
      <c r="G25" s="439"/>
      <c r="H25" s="438"/>
      <c r="I25" s="437"/>
      <c r="J25" s="436"/>
      <c r="K25" s="435"/>
      <c r="L25" s="434"/>
    </row>
    <row r="26" spans="1:36" x14ac:dyDescent="0.2">
      <c r="A26" s="443" t="s">
        <v>598</v>
      </c>
      <c r="B26" s="442"/>
      <c r="C26" s="442"/>
      <c r="D26" s="440"/>
      <c r="E26" s="441"/>
      <c r="F26" s="440"/>
      <c r="G26" s="439"/>
      <c r="H26" s="438"/>
      <c r="I26" s="437"/>
      <c r="J26" s="436"/>
      <c r="K26" s="435"/>
      <c r="L26" s="434" t="str">
        <f>Qualificar!K26</f>
        <v/>
      </c>
    </row>
    <row r="27" spans="1:36" x14ac:dyDescent="0.2">
      <c r="A27" s="443" t="s">
        <v>597</v>
      </c>
      <c r="B27" s="442"/>
      <c r="C27" s="442"/>
      <c r="D27" s="440"/>
      <c r="E27" s="441"/>
      <c r="F27" s="440"/>
      <c r="G27" s="439"/>
      <c r="H27" s="438"/>
      <c r="I27" s="437"/>
      <c r="J27" s="436"/>
      <c r="K27" s="435"/>
      <c r="L27" s="434" t="str">
        <f>Qualificar!K27</f>
        <v/>
      </c>
    </row>
  </sheetData>
  <mergeCells count="11">
    <mergeCell ref="AI1:AJ1"/>
    <mergeCell ref="I6:I7"/>
    <mergeCell ref="J6:J7"/>
    <mergeCell ref="L6:L7"/>
    <mergeCell ref="AF1:AG1"/>
    <mergeCell ref="H6:H7"/>
    <mergeCell ref="A1:G3"/>
    <mergeCell ref="A4:G5"/>
    <mergeCell ref="A6:A7"/>
    <mergeCell ref="G6:G7"/>
    <mergeCell ref="D6:F6"/>
  </mergeCells>
  <conditionalFormatting sqref="L8:L27">
    <cfRule type="cellIs" dxfId="8" priority="1" stopIfTrue="1" operator="between">
      <formula>0.005</formula>
      <formula>0.04</formula>
    </cfRule>
    <cfRule type="cellIs" dxfId="7" priority="2" stopIfTrue="1" operator="between">
      <formula>0.05</formula>
      <formula>0.17</formula>
    </cfRule>
    <cfRule type="cellIs" dxfId="6" priority="3" stopIfTrue="1" operator="between">
      <formula>0.18</formula>
      <formula>0.81</formula>
    </cfRule>
  </conditionalFormatting>
  <dataValidations count="1">
    <dataValidation type="list" allowBlank="1" showInputMessage="1" showErrorMessage="1" sqref="H8:H27 JD8:JD27 SZ8:SZ27 ACV8:ACV27 AMR8:AMR27 AWN8:AWN27 BGJ8:BGJ27 BQF8:BQF27 CAB8:CAB27 CJX8:CJX27 CTT8:CTT27 DDP8:DDP27 DNL8:DNL27 DXH8:DXH27 EHD8:EHD27 EQZ8:EQZ27 FAV8:FAV27 FKR8:FKR27 FUN8:FUN27 GEJ8:GEJ27 GOF8:GOF27 GYB8:GYB27 HHX8:HHX27 HRT8:HRT27 IBP8:IBP27 ILL8:ILL27 IVH8:IVH27 JFD8:JFD27 JOZ8:JOZ27 JYV8:JYV27 KIR8:KIR27 KSN8:KSN27 LCJ8:LCJ27 LMF8:LMF27 LWB8:LWB27 MFX8:MFX27 MPT8:MPT27 MZP8:MZP27 NJL8:NJL27 NTH8:NTH27 ODD8:ODD27 OMZ8:OMZ27 OWV8:OWV27 PGR8:PGR27 PQN8:PQN27 QAJ8:QAJ27 QKF8:QKF27 QUB8:QUB27 RDX8:RDX27 RNT8:RNT27 RXP8:RXP27 SHL8:SHL27 SRH8:SRH27 TBD8:TBD27 TKZ8:TKZ27 TUV8:TUV27 UER8:UER27 UON8:UON27 UYJ8:UYJ27 VIF8:VIF27 VSB8:VSB27 WBX8:WBX27 WLT8:WLT27 WVP8:WVP27 H65544:H65563 JD65544:JD65563 SZ65544:SZ65563 ACV65544:ACV65563 AMR65544:AMR65563 AWN65544:AWN65563 BGJ65544:BGJ65563 BQF65544:BQF65563 CAB65544:CAB65563 CJX65544:CJX65563 CTT65544:CTT65563 DDP65544:DDP65563 DNL65544:DNL65563 DXH65544:DXH65563 EHD65544:EHD65563 EQZ65544:EQZ65563 FAV65544:FAV65563 FKR65544:FKR65563 FUN65544:FUN65563 GEJ65544:GEJ65563 GOF65544:GOF65563 GYB65544:GYB65563 HHX65544:HHX65563 HRT65544:HRT65563 IBP65544:IBP65563 ILL65544:ILL65563 IVH65544:IVH65563 JFD65544:JFD65563 JOZ65544:JOZ65563 JYV65544:JYV65563 KIR65544:KIR65563 KSN65544:KSN65563 LCJ65544:LCJ65563 LMF65544:LMF65563 LWB65544:LWB65563 MFX65544:MFX65563 MPT65544:MPT65563 MZP65544:MZP65563 NJL65544:NJL65563 NTH65544:NTH65563 ODD65544:ODD65563 OMZ65544:OMZ65563 OWV65544:OWV65563 PGR65544:PGR65563 PQN65544:PQN65563 QAJ65544:QAJ65563 QKF65544:QKF65563 QUB65544:QUB65563 RDX65544:RDX65563 RNT65544:RNT65563 RXP65544:RXP65563 SHL65544:SHL65563 SRH65544:SRH65563 TBD65544:TBD65563 TKZ65544:TKZ65563 TUV65544:TUV65563 UER65544:UER65563 UON65544:UON65563 UYJ65544:UYJ65563 VIF65544:VIF65563 VSB65544:VSB65563 WBX65544:WBX65563 WLT65544:WLT65563 WVP65544:WVP65563 H131080:H131099 JD131080:JD131099 SZ131080:SZ131099 ACV131080:ACV131099 AMR131080:AMR131099 AWN131080:AWN131099 BGJ131080:BGJ131099 BQF131080:BQF131099 CAB131080:CAB131099 CJX131080:CJX131099 CTT131080:CTT131099 DDP131080:DDP131099 DNL131080:DNL131099 DXH131080:DXH131099 EHD131080:EHD131099 EQZ131080:EQZ131099 FAV131080:FAV131099 FKR131080:FKR131099 FUN131080:FUN131099 GEJ131080:GEJ131099 GOF131080:GOF131099 GYB131080:GYB131099 HHX131080:HHX131099 HRT131080:HRT131099 IBP131080:IBP131099 ILL131080:ILL131099 IVH131080:IVH131099 JFD131080:JFD131099 JOZ131080:JOZ131099 JYV131080:JYV131099 KIR131080:KIR131099 KSN131080:KSN131099 LCJ131080:LCJ131099 LMF131080:LMF131099 LWB131080:LWB131099 MFX131080:MFX131099 MPT131080:MPT131099 MZP131080:MZP131099 NJL131080:NJL131099 NTH131080:NTH131099 ODD131080:ODD131099 OMZ131080:OMZ131099 OWV131080:OWV131099 PGR131080:PGR131099 PQN131080:PQN131099 QAJ131080:QAJ131099 QKF131080:QKF131099 QUB131080:QUB131099 RDX131080:RDX131099 RNT131080:RNT131099 RXP131080:RXP131099 SHL131080:SHL131099 SRH131080:SRH131099 TBD131080:TBD131099 TKZ131080:TKZ131099 TUV131080:TUV131099 UER131080:UER131099 UON131080:UON131099 UYJ131080:UYJ131099 VIF131080:VIF131099 VSB131080:VSB131099 WBX131080:WBX131099 WLT131080:WLT131099 WVP131080:WVP131099 H196616:H196635 JD196616:JD196635 SZ196616:SZ196635 ACV196616:ACV196635 AMR196616:AMR196635 AWN196616:AWN196635 BGJ196616:BGJ196635 BQF196616:BQF196635 CAB196616:CAB196635 CJX196616:CJX196635 CTT196616:CTT196635 DDP196616:DDP196635 DNL196616:DNL196635 DXH196616:DXH196635 EHD196616:EHD196635 EQZ196616:EQZ196635 FAV196616:FAV196635 FKR196616:FKR196635 FUN196616:FUN196635 GEJ196616:GEJ196635 GOF196616:GOF196635 GYB196616:GYB196635 HHX196616:HHX196635 HRT196616:HRT196635 IBP196616:IBP196635 ILL196616:ILL196635 IVH196616:IVH196635 JFD196616:JFD196635 JOZ196616:JOZ196635 JYV196616:JYV196635 KIR196616:KIR196635 KSN196616:KSN196635 LCJ196616:LCJ196635 LMF196616:LMF196635 LWB196616:LWB196635 MFX196616:MFX196635 MPT196616:MPT196635 MZP196616:MZP196635 NJL196616:NJL196635 NTH196616:NTH196635 ODD196616:ODD196635 OMZ196616:OMZ196635 OWV196616:OWV196635 PGR196616:PGR196635 PQN196616:PQN196635 QAJ196616:QAJ196635 QKF196616:QKF196635 QUB196616:QUB196635 RDX196616:RDX196635 RNT196616:RNT196635 RXP196616:RXP196635 SHL196616:SHL196635 SRH196616:SRH196635 TBD196616:TBD196635 TKZ196616:TKZ196635 TUV196616:TUV196635 UER196616:UER196635 UON196616:UON196635 UYJ196616:UYJ196635 VIF196616:VIF196635 VSB196616:VSB196635 WBX196616:WBX196635 WLT196616:WLT196635 WVP196616:WVP196635 H262152:H262171 JD262152:JD262171 SZ262152:SZ262171 ACV262152:ACV262171 AMR262152:AMR262171 AWN262152:AWN262171 BGJ262152:BGJ262171 BQF262152:BQF262171 CAB262152:CAB262171 CJX262152:CJX262171 CTT262152:CTT262171 DDP262152:DDP262171 DNL262152:DNL262171 DXH262152:DXH262171 EHD262152:EHD262171 EQZ262152:EQZ262171 FAV262152:FAV262171 FKR262152:FKR262171 FUN262152:FUN262171 GEJ262152:GEJ262171 GOF262152:GOF262171 GYB262152:GYB262171 HHX262152:HHX262171 HRT262152:HRT262171 IBP262152:IBP262171 ILL262152:ILL262171 IVH262152:IVH262171 JFD262152:JFD262171 JOZ262152:JOZ262171 JYV262152:JYV262171 KIR262152:KIR262171 KSN262152:KSN262171 LCJ262152:LCJ262171 LMF262152:LMF262171 LWB262152:LWB262171 MFX262152:MFX262171 MPT262152:MPT262171 MZP262152:MZP262171 NJL262152:NJL262171 NTH262152:NTH262171 ODD262152:ODD262171 OMZ262152:OMZ262171 OWV262152:OWV262171 PGR262152:PGR262171 PQN262152:PQN262171 QAJ262152:QAJ262171 QKF262152:QKF262171 QUB262152:QUB262171 RDX262152:RDX262171 RNT262152:RNT262171 RXP262152:RXP262171 SHL262152:SHL262171 SRH262152:SRH262171 TBD262152:TBD262171 TKZ262152:TKZ262171 TUV262152:TUV262171 UER262152:UER262171 UON262152:UON262171 UYJ262152:UYJ262171 VIF262152:VIF262171 VSB262152:VSB262171 WBX262152:WBX262171 WLT262152:WLT262171 WVP262152:WVP262171 H327688:H327707 JD327688:JD327707 SZ327688:SZ327707 ACV327688:ACV327707 AMR327688:AMR327707 AWN327688:AWN327707 BGJ327688:BGJ327707 BQF327688:BQF327707 CAB327688:CAB327707 CJX327688:CJX327707 CTT327688:CTT327707 DDP327688:DDP327707 DNL327688:DNL327707 DXH327688:DXH327707 EHD327688:EHD327707 EQZ327688:EQZ327707 FAV327688:FAV327707 FKR327688:FKR327707 FUN327688:FUN327707 GEJ327688:GEJ327707 GOF327688:GOF327707 GYB327688:GYB327707 HHX327688:HHX327707 HRT327688:HRT327707 IBP327688:IBP327707 ILL327688:ILL327707 IVH327688:IVH327707 JFD327688:JFD327707 JOZ327688:JOZ327707 JYV327688:JYV327707 KIR327688:KIR327707 KSN327688:KSN327707 LCJ327688:LCJ327707 LMF327688:LMF327707 LWB327688:LWB327707 MFX327688:MFX327707 MPT327688:MPT327707 MZP327688:MZP327707 NJL327688:NJL327707 NTH327688:NTH327707 ODD327688:ODD327707 OMZ327688:OMZ327707 OWV327688:OWV327707 PGR327688:PGR327707 PQN327688:PQN327707 QAJ327688:QAJ327707 QKF327688:QKF327707 QUB327688:QUB327707 RDX327688:RDX327707 RNT327688:RNT327707 RXP327688:RXP327707 SHL327688:SHL327707 SRH327688:SRH327707 TBD327688:TBD327707 TKZ327688:TKZ327707 TUV327688:TUV327707 UER327688:UER327707 UON327688:UON327707 UYJ327688:UYJ327707 VIF327688:VIF327707 VSB327688:VSB327707 WBX327688:WBX327707 WLT327688:WLT327707 WVP327688:WVP327707 H393224:H393243 JD393224:JD393243 SZ393224:SZ393243 ACV393224:ACV393243 AMR393224:AMR393243 AWN393224:AWN393243 BGJ393224:BGJ393243 BQF393224:BQF393243 CAB393224:CAB393243 CJX393224:CJX393243 CTT393224:CTT393243 DDP393224:DDP393243 DNL393224:DNL393243 DXH393224:DXH393243 EHD393224:EHD393243 EQZ393224:EQZ393243 FAV393224:FAV393243 FKR393224:FKR393243 FUN393224:FUN393243 GEJ393224:GEJ393243 GOF393224:GOF393243 GYB393224:GYB393243 HHX393224:HHX393243 HRT393224:HRT393243 IBP393224:IBP393243 ILL393224:ILL393243 IVH393224:IVH393243 JFD393224:JFD393243 JOZ393224:JOZ393243 JYV393224:JYV393243 KIR393224:KIR393243 KSN393224:KSN393243 LCJ393224:LCJ393243 LMF393224:LMF393243 LWB393224:LWB393243 MFX393224:MFX393243 MPT393224:MPT393243 MZP393224:MZP393243 NJL393224:NJL393243 NTH393224:NTH393243 ODD393224:ODD393243 OMZ393224:OMZ393243 OWV393224:OWV393243 PGR393224:PGR393243 PQN393224:PQN393243 QAJ393224:QAJ393243 QKF393224:QKF393243 QUB393224:QUB393243 RDX393224:RDX393243 RNT393224:RNT393243 RXP393224:RXP393243 SHL393224:SHL393243 SRH393224:SRH393243 TBD393224:TBD393243 TKZ393224:TKZ393243 TUV393224:TUV393243 UER393224:UER393243 UON393224:UON393243 UYJ393224:UYJ393243 VIF393224:VIF393243 VSB393224:VSB393243 WBX393224:WBX393243 WLT393224:WLT393243 WVP393224:WVP393243 H458760:H458779 JD458760:JD458779 SZ458760:SZ458779 ACV458760:ACV458779 AMR458760:AMR458779 AWN458760:AWN458779 BGJ458760:BGJ458779 BQF458760:BQF458779 CAB458760:CAB458779 CJX458760:CJX458779 CTT458760:CTT458779 DDP458760:DDP458779 DNL458760:DNL458779 DXH458760:DXH458779 EHD458760:EHD458779 EQZ458760:EQZ458779 FAV458760:FAV458779 FKR458760:FKR458779 FUN458760:FUN458779 GEJ458760:GEJ458779 GOF458760:GOF458779 GYB458760:GYB458779 HHX458760:HHX458779 HRT458760:HRT458779 IBP458760:IBP458779 ILL458760:ILL458779 IVH458760:IVH458779 JFD458760:JFD458779 JOZ458760:JOZ458779 JYV458760:JYV458779 KIR458760:KIR458779 KSN458760:KSN458779 LCJ458760:LCJ458779 LMF458760:LMF458779 LWB458760:LWB458779 MFX458760:MFX458779 MPT458760:MPT458779 MZP458760:MZP458779 NJL458760:NJL458779 NTH458760:NTH458779 ODD458760:ODD458779 OMZ458760:OMZ458779 OWV458760:OWV458779 PGR458760:PGR458779 PQN458760:PQN458779 QAJ458760:QAJ458779 QKF458760:QKF458779 QUB458760:QUB458779 RDX458760:RDX458779 RNT458760:RNT458779 RXP458760:RXP458779 SHL458760:SHL458779 SRH458760:SRH458779 TBD458760:TBD458779 TKZ458760:TKZ458779 TUV458760:TUV458779 UER458760:UER458779 UON458760:UON458779 UYJ458760:UYJ458779 VIF458760:VIF458779 VSB458760:VSB458779 WBX458760:WBX458779 WLT458760:WLT458779 WVP458760:WVP458779 H524296:H524315 JD524296:JD524315 SZ524296:SZ524315 ACV524296:ACV524315 AMR524296:AMR524315 AWN524296:AWN524315 BGJ524296:BGJ524315 BQF524296:BQF524315 CAB524296:CAB524315 CJX524296:CJX524315 CTT524296:CTT524315 DDP524296:DDP524315 DNL524296:DNL524315 DXH524296:DXH524315 EHD524296:EHD524315 EQZ524296:EQZ524315 FAV524296:FAV524315 FKR524296:FKR524315 FUN524296:FUN524315 GEJ524296:GEJ524315 GOF524296:GOF524315 GYB524296:GYB524315 HHX524296:HHX524315 HRT524296:HRT524315 IBP524296:IBP524315 ILL524296:ILL524315 IVH524296:IVH524315 JFD524296:JFD524315 JOZ524296:JOZ524315 JYV524296:JYV524315 KIR524296:KIR524315 KSN524296:KSN524315 LCJ524296:LCJ524315 LMF524296:LMF524315 LWB524296:LWB524315 MFX524296:MFX524315 MPT524296:MPT524315 MZP524296:MZP524315 NJL524296:NJL524315 NTH524296:NTH524315 ODD524296:ODD524315 OMZ524296:OMZ524315 OWV524296:OWV524315 PGR524296:PGR524315 PQN524296:PQN524315 QAJ524296:QAJ524315 QKF524296:QKF524315 QUB524296:QUB524315 RDX524296:RDX524315 RNT524296:RNT524315 RXP524296:RXP524315 SHL524296:SHL524315 SRH524296:SRH524315 TBD524296:TBD524315 TKZ524296:TKZ524315 TUV524296:TUV524315 UER524296:UER524315 UON524296:UON524315 UYJ524296:UYJ524315 VIF524296:VIF524315 VSB524296:VSB524315 WBX524296:WBX524315 WLT524296:WLT524315 WVP524296:WVP524315 H589832:H589851 JD589832:JD589851 SZ589832:SZ589851 ACV589832:ACV589851 AMR589832:AMR589851 AWN589832:AWN589851 BGJ589832:BGJ589851 BQF589832:BQF589851 CAB589832:CAB589851 CJX589832:CJX589851 CTT589832:CTT589851 DDP589832:DDP589851 DNL589832:DNL589851 DXH589832:DXH589851 EHD589832:EHD589851 EQZ589832:EQZ589851 FAV589832:FAV589851 FKR589832:FKR589851 FUN589832:FUN589851 GEJ589832:GEJ589851 GOF589832:GOF589851 GYB589832:GYB589851 HHX589832:HHX589851 HRT589832:HRT589851 IBP589832:IBP589851 ILL589832:ILL589851 IVH589832:IVH589851 JFD589832:JFD589851 JOZ589832:JOZ589851 JYV589832:JYV589851 KIR589832:KIR589851 KSN589832:KSN589851 LCJ589832:LCJ589851 LMF589832:LMF589851 LWB589832:LWB589851 MFX589832:MFX589851 MPT589832:MPT589851 MZP589832:MZP589851 NJL589832:NJL589851 NTH589832:NTH589851 ODD589832:ODD589851 OMZ589832:OMZ589851 OWV589832:OWV589851 PGR589832:PGR589851 PQN589832:PQN589851 QAJ589832:QAJ589851 QKF589832:QKF589851 QUB589832:QUB589851 RDX589832:RDX589851 RNT589832:RNT589851 RXP589832:RXP589851 SHL589832:SHL589851 SRH589832:SRH589851 TBD589832:TBD589851 TKZ589832:TKZ589851 TUV589832:TUV589851 UER589832:UER589851 UON589832:UON589851 UYJ589832:UYJ589851 VIF589832:VIF589851 VSB589832:VSB589851 WBX589832:WBX589851 WLT589832:WLT589851 WVP589832:WVP589851 H655368:H655387 JD655368:JD655387 SZ655368:SZ655387 ACV655368:ACV655387 AMR655368:AMR655387 AWN655368:AWN655387 BGJ655368:BGJ655387 BQF655368:BQF655387 CAB655368:CAB655387 CJX655368:CJX655387 CTT655368:CTT655387 DDP655368:DDP655387 DNL655368:DNL655387 DXH655368:DXH655387 EHD655368:EHD655387 EQZ655368:EQZ655387 FAV655368:FAV655387 FKR655368:FKR655387 FUN655368:FUN655387 GEJ655368:GEJ655387 GOF655368:GOF655387 GYB655368:GYB655387 HHX655368:HHX655387 HRT655368:HRT655387 IBP655368:IBP655387 ILL655368:ILL655387 IVH655368:IVH655387 JFD655368:JFD655387 JOZ655368:JOZ655387 JYV655368:JYV655387 KIR655368:KIR655387 KSN655368:KSN655387 LCJ655368:LCJ655387 LMF655368:LMF655387 LWB655368:LWB655387 MFX655368:MFX655387 MPT655368:MPT655387 MZP655368:MZP655387 NJL655368:NJL655387 NTH655368:NTH655387 ODD655368:ODD655387 OMZ655368:OMZ655387 OWV655368:OWV655387 PGR655368:PGR655387 PQN655368:PQN655387 QAJ655368:QAJ655387 QKF655368:QKF655387 QUB655368:QUB655387 RDX655368:RDX655387 RNT655368:RNT655387 RXP655368:RXP655387 SHL655368:SHL655387 SRH655368:SRH655387 TBD655368:TBD655387 TKZ655368:TKZ655387 TUV655368:TUV655387 UER655368:UER655387 UON655368:UON655387 UYJ655368:UYJ655387 VIF655368:VIF655387 VSB655368:VSB655387 WBX655368:WBX655387 WLT655368:WLT655387 WVP655368:WVP655387 H720904:H720923 JD720904:JD720923 SZ720904:SZ720923 ACV720904:ACV720923 AMR720904:AMR720923 AWN720904:AWN720923 BGJ720904:BGJ720923 BQF720904:BQF720923 CAB720904:CAB720923 CJX720904:CJX720923 CTT720904:CTT720923 DDP720904:DDP720923 DNL720904:DNL720923 DXH720904:DXH720923 EHD720904:EHD720923 EQZ720904:EQZ720923 FAV720904:FAV720923 FKR720904:FKR720923 FUN720904:FUN720923 GEJ720904:GEJ720923 GOF720904:GOF720923 GYB720904:GYB720923 HHX720904:HHX720923 HRT720904:HRT720923 IBP720904:IBP720923 ILL720904:ILL720923 IVH720904:IVH720923 JFD720904:JFD720923 JOZ720904:JOZ720923 JYV720904:JYV720923 KIR720904:KIR720923 KSN720904:KSN720923 LCJ720904:LCJ720923 LMF720904:LMF720923 LWB720904:LWB720923 MFX720904:MFX720923 MPT720904:MPT720923 MZP720904:MZP720923 NJL720904:NJL720923 NTH720904:NTH720923 ODD720904:ODD720923 OMZ720904:OMZ720923 OWV720904:OWV720923 PGR720904:PGR720923 PQN720904:PQN720923 QAJ720904:QAJ720923 QKF720904:QKF720923 QUB720904:QUB720923 RDX720904:RDX720923 RNT720904:RNT720923 RXP720904:RXP720923 SHL720904:SHL720923 SRH720904:SRH720923 TBD720904:TBD720923 TKZ720904:TKZ720923 TUV720904:TUV720923 UER720904:UER720923 UON720904:UON720923 UYJ720904:UYJ720923 VIF720904:VIF720923 VSB720904:VSB720923 WBX720904:WBX720923 WLT720904:WLT720923 WVP720904:WVP720923 H786440:H786459 JD786440:JD786459 SZ786440:SZ786459 ACV786440:ACV786459 AMR786440:AMR786459 AWN786440:AWN786459 BGJ786440:BGJ786459 BQF786440:BQF786459 CAB786440:CAB786459 CJX786440:CJX786459 CTT786440:CTT786459 DDP786440:DDP786459 DNL786440:DNL786459 DXH786440:DXH786459 EHD786440:EHD786459 EQZ786440:EQZ786459 FAV786440:FAV786459 FKR786440:FKR786459 FUN786440:FUN786459 GEJ786440:GEJ786459 GOF786440:GOF786459 GYB786440:GYB786459 HHX786440:HHX786459 HRT786440:HRT786459 IBP786440:IBP786459 ILL786440:ILL786459 IVH786440:IVH786459 JFD786440:JFD786459 JOZ786440:JOZ786459 JYV786440:JYV786459 KIR786440:KIR786459 KSN786440:KSN786459 LCJ786440:LCJ786459 LMF786440:LMF786459 LWB786440:LWB786459 MFX786440:MFX786459 MPT786440:MPT786459 MZP786440:MZP786459 NJL786440:NJL786459 NTH786440:NTH786459 ODD786440:ODD786459 OMZ786440:OMZ786459 OWV786440:OWV786459 PGR786440:PGR786459 PQN786440:PQN786459 QAJ786440:QAJ786459 QKF786440:QKF786459 QUB786440:QUB786459 RDX786440:RDX786459 RNT786440:RNT786459 RXP786440:RXP786459 SHL786440:SHL786459 SRH786440:SRH786459 TBD786440:TBD786459 TKZ786440:TKZ786459 TUV786440:TUV786459 UER786440:UER786459 UON786440:UON786459 UYJ786440:UYJ786459 VIF786440:VIF786459 VSB786440:VSB786459 WBX786440:WBX786459 WLT786440:WLT786459 WVP786440:WVP786459 H851976:H851995 JD851976:JD851995 SZ851976:SZ851995 ACV851976:ACV851995 AMR851976:AMR851995 AWN851976:AWN851995 BGJ851976:BGJ851995 BQF851976:BQF851995 CAB851976:CAB851995 CJX851976:CJX851995 CTT851976:CTT851995 DDP851976:DDP851995 DNL851976:DNL851995 DXH851976:DXH851995 EHD851976:EHD851995 EQZ851976:EQZ851995 FAV851976:FAV851995 FKR851976:FKR851995 FUN851976:FUN851995 GEJ851976:GEJ851995 GOF851976:GOF851995 GYB851976:GYB851995 HHX851976:HHX851995 HRT851976:HRT851995 IBP851976:IBP851995 ILL851976:ILL851995 IVH851976:IVH851995 JFD851976:JFD851995 JOZ851976:JOZ851995 JYV851976:JYV851995 KIR851976:KIR851995 KSN851976:KSN851995 LCJ851976:LCJ851995 LMF851976:LMF851995 LWB851976:LWB851995 MFX851976:MFX851995 MPT851976:MPT851995 MZP851976:MZP851995 NJL851976:NJL851995 NTH851976:NTH851995 ODD851976:ODD851995 OMZ851976:OMZ851995 OWV851976:OWV851995 PGR851976:PGR851995 PQN851976:PQN851995 QAJ851976:QAJ851995 QKF851976:QKF851995 QUB851976:QUB851995 RDX851976:RDX851995 RNT851976:RNT851995 RXP851976:RXP851995 SHL851976:SHL851995 SRH851976:SRH851995 TBD851976:TBD851995 TKZ851976:TKZ851995 TUV851976:TUV851995 UER851976:UER851995 UON851976:UON851995 UYJ851976:UYJ851995 VIF851976:VIF851995 VSB851976:VSB851995 WBX851976:WBX851995 WLT851976:WLT851995 WVP851976:WVP851995 H917512:H917531 JD917512:JD917531 SZ917512:SZ917531 ACV917512:ACV917531 AMR917512:AMR917531 AWN917512:AWN917531 BGJ917512:BGJ917531 BQF917512:BQF917531 CAB917512:CAB917531 CJX917512:CJX917531 CTT917512:CTT917531 DDP917512:DDP917531 DNL917512:DNL917531 DXH917512:DXH917531 EHD917512:EHD917531 EQZ917512:EQZ917531 FAV917512:FAV917531 FKR917512:FKR917531 FUN917512:FUN917531 GEJ917512:GEJ917531 GOF917512:GOF917531 GYB917512:GYB917531 HHX917512:HHX917531 HRT917512:HRT917531 IBP917512:IBP917531 ILL917512:ILL917531 IVH917512:IVH917531 JFD917512:JFD917531 JOZ917512:JOZ917531 JYV917512:JYV917531 KIR917512:KIR917531 KSN917512:KSN917531 LCJ917512:LCJ917531 LMF917512:LMF917531 LWB917512:LWB917531 MFX917512:MFX917531 MPT917512:MPT917531 MZP917512:MZP917531 NJL917512:NJL917531 NTH917512:NTH917531 ODD917512:ODD917531 OMZ917512:OMZ917531 OWV917512:OWV917531 PGR917512:PGR917531 PQN917512:PQN917531 QAJ917512:QAJ917531 QKF917512:QKF917531 QUB917512:QUB917531 RDX917512:RDX917531 RNT917512:RNT917531 RXP917512:RXP917531 SHL917512:SHL917531 SRH917512:SRH917531 TBD917512:TBD917531 TKZ917512:TKZ917531 TUV917512:TUV917531 UER917512:UER917531 UON917512:UON917531 UYJ917512:UYJ917531 VIF917512:VIF917531 VSB917512:VSB917531 WBX917512:WBX917531 WLT917512:WLT917531 WVP917512:WVP917531 H983048:H983067 JD983048:JD983067 SZ983048:SZ983067 ACV983048:ACV983067 AMR983048:AMR983067 AWN983048:AWN983067 BGJ983048:BGJ983067 BQF983048:BQF983067 CAB983048:CAB983067 CJX983048:CJX983067 CTT983048:CTT983067 DDP983048:DDP983067 DNL983048:DNL983067 DXH983048:DXH983067 EHD983048:EHD983067 EQZ983048:EQZ983067 FAV983048:FAV983067 FKR983048:FKR983067 FUN983048:FUN983067 GEJ983048:GEJ983067 GOF983048:GOF983067 GYB983048:GYB983067 HHX983048:HHX983067 HRT983048:HRT983067 IBP983048:IBP983067 ILL983048:ILL983067 IVH983048:IVH983067 JFD983048:JFD983067 JOZ983048:JOZ983067 JYV983048:JYV983067 KIR983048:KIR983067 KSN983048:KSN983067 LCJ983048:LCJ983067 LMF983048:LMF983067 LWB983048:LWB983067 MFX983048:MFX983067 MPT983048:MPT983067 MZP983048:MZP983067 NJL983048:NJL983067 NTH983048:NTH983067 ODD983048:ODD983067 OMZ983048:OMZ983067 OWV983048:OWV983067 PGR983048:PGR983067 PQN983048:PQN983067 QAJ983048:QAJ983067 QKF983048:QKF983067 QUB983048:QUB983067 RDX983048:RDX983067 RNT983048:RNT983067 RXP983048:RXP983067 SHL983048:SHL983067 SRH983048:SRH983067 TBD983048:TBD983067 TKZ983048:TKZ983067 TUV983048:TUV983067 UER983048:UER983067 UON983048:UON983067 UYJ983048:UYJ983067 VIF983048:VIF983067 VSB983048:VSB983067 WBX983048:WBX983067 WLT983048:WLT983067 WVP983048:WVP983067" xr:uid="{65039D84-7DD2-4695-976D-03EDB48AE247}">
      <formula1>"Evitar,Transferir,Mitigar,Aceitar"</formula1>
    </dataValidation>
  </dataValidations>
  <pageMargins left="0.39370078740157483" right="0.39370078740157483" top="0.39370078740157483" bottom="0.39370078740157483" header="0.31496062992125984" footer="0.31496062992125984"/>
  <pageSetup paperSize="9" scale="82" fitToHeight="3" orientation="landscape" r:id="rId1"/>
  <headerFooter alignWithMargins="0">
    <oddFooter>&amp;R&amp;D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16FA-99B6-4505-9C83-03B3A70C1B3B}">
  <sheetPr codeName="Plan2">
    <pageSetUpPr fitToPage="1"/>
  </sheetPr>
  <dimension ref="A1:AJ52"/>
  <sheetViews>
    <sheetView showGridLines="0" zoomScaleNormal="100" workbookViewId="0">
      <pane xSplit="5" ySplit="7" topLeftCell="F8" activePane="bottomRight" state="frozen"/>
      <selection pane="topRight" activeCell="G1" sqref="G1"/>
      <selection pane="bottomLeft" activeCell="A5" sqref="A5"/>
      <selection pane="bottomRight" activeCell="M9" sqref="M9"/>
    </sheetView>
  </sheetViews>
  <sheetFormatPr defaultRowHeight="11.25" x14ac:dyDescent="0.2"/>
  <cols>
    <col min="1" max="1" width="4.7109375" style="430" customWidth="1"/>
    <col min="2" max="2" width="18.28515625" style="430" customWidth="1"/>
    <col min="3" max="3" width="17.7109375" style="433" customWidth="1"/>
    <col min="4" max="4" width="22.5703125" style="430" customWidth="1"/>
    <col min="5" max="5" width="9.7109375" style="432" customWidth="1"/>
    <col min="6" max="6" width="17.140625" style="433" customWidth="1"/>
    <col min="7" max="7" width="13.140625" style="432" customWidth="1"/>
    <col min="8" max="8" width="14.28515625" style="432" customWidth="1"/>
    <col min="9" max="9" width="10" style="432" customWidth="1"/>
    <col min="10" max="10" width="11.5703125" style="432" customWidth="1"/>
    <col min="11" max="11" width="11" style="430" customWidth="1"/>
    <col min="12" max="12" width="17.42578125" style="430" hidden="1" customWidth="1"/>
    <col min="13" max="13" width="11.7109375" style="430" customWidth="1"/>
    <col min="14" max="15" width="9.140625" style="430"/>
    <col min="16" max="16" width="8.85546875" style="430" customWidth="1"/>
    <col min="17" max="17" width="10" style="430" customWidth="1"/>
    <col min="18" max="18" width="14.28515625" style="430" customWidth="1"/>
    <col min="19" max="16384" width="9.140625" style="430"/>
  </cols>
  <sheetData>
    <row r="1" spans="1:36" ht="13.5" customHeight="1" thickBot="1" x14ac:dyDescent="0.25">
      <c r="A1" s="658" t="s">
        <v>736</v>
      </c>
      <c r="B1" s="659"/>
      <c r="C1" s="659"/>
      <c r="D1" s="659"/>
      <c r="E1" s="659"/>
      <c r="AF1" s="675" t="s">
        <v>706</v>
      </c>
      <c r="AG1" s="676"/>
      <c r="AH1" s="49"/>
      <c r="AI1" s="667" t="s">
        <v>705</v>
      </c>
      <c r="AJ1" s="668"/>
    </row>
    <row r="2" spans="1:36" ht="24" customHeight="1" thickBot="1" x14ac:dyDescent="0.25">
      <c r="A2" s="658"/>
      <c r="B2" s="659"/>
      <c r="C2" s="659"/>
      <c r="D2" s="659"/>
      <c r="E2" s="659"/>
      <c r="K2" s="495" t="s">
        <v>735</v>
      </c>
      <c r="L2" s="494"/>
      <c r="M2" s="494">
        <v>10000</v>
      </c>
      <c r="N2" s="493" t="s">
        <v>734</v>
      </c>
      <c r="AF2" s="469"/>
      <c r="AG2" s="468"/>
      <c r="AH2" s="49"/>
      <c r="AI2" s="467"/>
      <c r="AJ2" s="466"/>
    </row>
    <row r="3" spans="1:36" ht="23.25" customHeight="1" x14ac:dyDescent="0.2">
      <c r="A3" s="658"/>
      <c r="B3" s="659"/>
      <c r="C3" s="659"/>
      <c r="D3" s="659"/>
      <c r="E3" s="659"/>
      <c r="K3" s="492" t="s">
        <v>733</v>
      </c>
      <c r="L3" s="491"/>
      <c r="M3" s="491">
        <v>30</v>
      </c>
      <c r="N3" s="490" t="s">
        <v>732</v>
      </c>
      <c r="AF3" s="469"/>
      <c r="AG3" s="468"/>
      <c r="AH3" s="49"/>
      <c r="AI3" s="467"/>
      <c r="AJ3" s="466"/>
    </row>
    <row r="4" spans="1:36" ht="22.5" customHeight="1" x14ac:dyDescent="0.2">
      <c r="A4" s="658" t="str">
        <f>Identificar!A4</f>
        <v>Calogic</v>
      </c>
      <c r="B4" s="659"/>
      <c r="C4" s="659"/>
      <c r="D4" s="659"/>
      <c r="E4" s="659"/>
      <c r="AF4" s="469"/>
      <c r="AG4" s="468"/>
      <c r="AH4" s="49"/>
      <c r="AI4" s="467"/>
      <c r="AJ4" s="466"/>
    </row>
    <row r="5" spans="1:36" ht="26.25" thickBot="1" x14ac:dyDescent="0.25">
      <c r="A5" s="660"/>
      <c r="B5" s="661"/>
      <c r="C5" s="661"/>
      <c r="D5" s="661"/>
      <c r="E5" s="661"/>
      <c r="I5" s="430"/>
      <c r="AF5" s="462" t="s">
        <v>704</v>
      </c>
      <c r="AG5" s="461">
        <v>1</v>
      </c>
      <c r="AH5" s="49"/>
      <c r="AI5" s="462" t="s">
        <v>703</v>
      </c>
      <c r="AJ5" s="461">
        <v>1</v>
      </c>
    </row>
    <row r="6" spans="1:36" ht="26.25" thickBot="1" x14ac:dyDescent="0.25">
      <c r="A6" s="662" t="s">
        <v>702</v>
      </c>
      <c r="B6" s="664" t="s">
        <v>700</v>
      </c>
      <c r="C6" s="665"/>
      <c r="D6" s="666"/>
      <c r="E6" s="654" t="s">
        <v>699</v>
      </c>
      <c r="F6" s="677" t="s">
        <v>731</v>
      </c>
      <c r="G6" s="679" t="s">
        <v>730</v>
      </c>
      <c r="H6" s="680"/>
      <c r="I6" s="680"/>
      <c r="J6" s="681"/>
      <c r="K6" s="673" t="s">
        <v>729</v>
      </c>
      <c r="L6" s="459"/>
      <c r="M6" s="673" t="s">
        <v>526</v>
      </c>
      <c r="N6" s="673" t="s">
        <v>728</v>
      </c>
      <c r="AF6" s="454" t="s">
        <v>694</v>
      </c>
      <c r="AG6" s="453">
        <v>2</v>
      </c>
      <c r="AH6" s="49"/>
      <c r="AI6" s="454" t="s">
        <v>693</v>
      </c>
      <c r="AJ6" s="453">
        <v>2</v>
      </c>
    </row>
    <row r="7" spans="1:36" s="452" customFormat="1" ht="34.5" thickBot="1" x14ac:dyDescent="0.25">
      <c r="A7" s="663"/>
      <c r="B7" s="457" t="s">
        <v>690</v>
      </c>
      <c r="C7" s="457" t="s">
        <v>689</v>
      </c>
      <c r="D7" s="456" t="s">
        <v>727</v>
      </c>
      <c r="E7" s="655"/>
      <c r="F7" s="678"/>
      <c r="G7" s="489" t="s">
        <v>726</v>
      </c>
      <c r="H7" s="488" t="s">
        <v>725</v>
      </c>
      <c r="I7" s="488" t="s">
        <v>724</v>
      </c>
      <c r="J7" s="487" t="s">
        <v>723</v>
      </c>
      <c r="K7" s="674"/>
      <c r="L7" s="455" t="s">
        <v>687</v>
      </c>
      <c r="M7" s="682"/>
      <c r="N7" s="674"/>
      <c r="AF7" s="454" t="s">
        <v>686</v>
      </c>
      <c r="AG7" s="453">
        <v>3</v>
      </c>
      <c r="AH7" s="49"/>
      <c r="AI7" s="454" t="s">
        <v>685</v>
      </c>
      <c r="AJ7" s="453">
        <v>3</v>
      </c>
    </row>
    <row r="8" spans="1:36" ht="67.5" x14ac:dyDescent="0.2">
      <c r="A8" s="443" t="str">
        <f>IF(Identificar!A8&lt;&gt;"",Identificar!A8,"")</f>
        <v>R01</v>
      </c>
      <c r="B8" s="443" t="str">
        <f>IF(Identificar!D8&lt;&gt;"",Identificar!D8,"")</f>
        <v>Como resultado da falha da equipe e do gerente do projeto.</v>
      </c>
      <c r="C8" s="443" t="str">
        <f>IF(Identificar!E8&lt;&gt;"",Identificar!E8,"")</f>
        <v>Pode ocorrer de aumentar os custos e os atrasos, além de acabar com a expectativa do stakeholder.</v>
      </c>
      <c r="D8" s="443" t="str">
        <f>IF(Identificar!F8&lt;&gt;"",Identificar!F8,"")</f>
        <v>O que acarretaria capacitação para o lançamento do sistema.</v>
      </c>
      <c r="E8" s="443" t="str">
        <f>IF(Identificar!G8&lt;&gt;"",Identificar!G8,"")</f>
        <v/>
      </c>
      <c r="F8" s="485" t="s">
        <v>717</v>
      </c>
      <c r="G8" s="484" t="s">
        <v>719</v>
      </c>
      <c r="H8" s="483" t="s">
        <v>718</v>
      </c>
      <c r="I8" s="482">
        <f t="shared" ref="I8:I27" si="0">IF(G8&lt;&gt;"",IF(H8&lt;&gt;"",RIGHT(G8,4)*RIGHT(H8,4),""),"")</f>
        <v>2.3100000000000005</v>
      </c>
      <c r="J8" s="481" t="str">
        <f>IF(I8&lt;&gt;"",VLOOKUP(I8,'[8]Sensibilidade ao Risco'!$E$2:$F$30,2,FALSE),"")</f>
        <v>Baixa - 0,10</v>
      </c>
      <c r="K8" s="442">
        <f t="shared" ref="K8:K27" si="1">IF(F8&lt;&gt;"",IF(J8&lt;&gt;"",(RIGHT(J8,3))*(RIGHT(F8,3)),""),"")</f>
        <v>1.0000000000000002E-2</v>
      </c>
      <c r="L8" s="486" t="s">
        <v>678</v>
      </c>
      <c r="M8" s="480">
        <f>ROUNDUP(Quantificar!G8/Qualificar!$M$2,2)</f>
        <v>1.5</v>
      </c>
      <c r="N8" s="480">
        <f>ROUNDUP(Quantificar!H8/Qualificar!$M$3,2)</f>
        <v>0.5</v>
      </c>
      <c r="AF8" s="445" t="s">
        <v>677</v>
      </c>
      <c r="AG8" s="444">
        <v>4</v>
      </c>
      <c r="AH8" s="446"/>
      <c r="AI8" s="445" t="s">
        <v>676</v>
      </c>
      <c r="AJ8" s="444">
        <v>4</v>
      </c>
    </row>
    <row r="9" spans="1:36" ht="45.75" thickBot="1" x14ac:dyDescent="0.25">
      <c r="A9" s="443" t="str">
        <f>IF(Identificar!A9&lt;&gt;"",Identificar!A9,"")</f>
        <v>R02</v>
      </c>
      <c r="B9" s="443" t="str">
        <f>IF(Identificar!D9&lt;&gt;"",Identificar!D9,"")</f>
        <v>Como resultado de não implementação de segurança de autenticação.</v>
      </c>
      <c r="C9" s="443" t="str">
        <f>IF(Identificar!E9&lt;&gt;"",Identificar!E9,"")</f>
        <v>Pode ocorrer acesso indevido.</v>
      </c>
      <c r="D9" s="443" t="str">
        <f>IF(Identificar!F9&lt;&gt;"",Identificar!F9,"")</f>
        <v>O que acarretaria vazamento de dados e vulnerabilidade nos sistemas.</v>
      </c>
      <c r="E9" s="443" t="str">
        <f>IF(Identificar!G9&lt;&gt;"",Identificar!G9,"")</f>
        <v/>
      </c>
      <c r="F9" s="485" t="s">
        <v>708</v>
      </c>
      <c r="G9" s="484" t="s">
        <v>710</v>
      </c>
      <c r="H9" s="483" t="s">
        <v>718</v>
      </c>
      <c r="I9" s="482">
        <f t="shared" si="0"/>
        <v>3.7800000000000002</v>
      </c>
      <c r="J9" s="481" t="str">
        <f>IF(I9&lt;&gt;"",VLOOKUP(I9,'[8]Sensibilidade ao Risco'!$E$2:$F$30,2,FALSE),"")</f>
        <v>Alta - 0,40</v>
      </c>
      <c r="K9" s="442">
        <f t="shared" si="1"/>
        <v>0.32000000000000006</v>
      </c>
      <c r="L9" s="435"/>
      <c r="M9" s="480">
        <f>ROUNDUP(Quantificar!G9/Qualificar!$M$2,2)</f>
        <v>1</v>
      </c>
      <c r="N9" s="480">
        <f>ROUNDUP(Quantificar!H9/Qualificar!$M$3,2)</f>
        <v>0.34</v>
      </c>
      <c r="AF9" s="448"/>
      <c r="AG9" s="447"/>
      <c r="AH9" s="446"/>
      <c r="AI9" s="445"/>
      <c r="AJ9" s="444"/>
    </row>
    <row r="10" spans="1:36" ht="45.75" thickBot="1" x14ac:dyDescent="0.25">
      <c r="A10" s="443" t="str">
        <f>IF(Identificar!A10&lt;&gt;"",Identificar!A10,"")</f>
        <v>R03</v>
      </c>
      <c r="B10" s="443" t="str">
        <f>IF(Identificar!D10&lt;&gt;"",Identificar!D10,"")</f>
        <v>Como resultado da ausência de um plano de respostas a incidentes.</v>
      </c>
      <c r="C10" s="443" t="str">
        <f>IF(Identificar!E10&lt;&gt;"",Identificar!E10,"")</f>
        <v>Pode ocorrer a lentidão da resposta à ataques.</v>
      </c>
      <c r="D10" s="443" t="str">
        <f>IF(Identificar!F10&lt;&gt;"",Identificar!F10,"")</f>
        <v xml:space="preserve">O que acarretaria aumento da exposição. </v>
      </c>
      <c r="E10" s="443" t="str">
        <f>IF(Identificar!G10&lt;&gt;"",Identificar!G10,"")</f>
        <v/>
      </c>
      <c r="F10" s="485" t="s">
        <v>711</v>
      </c>
      <c r="G10" s="484" t="s">
        <v>713</v>
      </c>
      <c r="H10" s="483" t="s">
        <v>718</v>
      </c>
      <c r="I10" s="482">
        <f t="shared" si="0"/>
        <v>2.94</v>
      </c>
      <c r="J10" s="481" t="str">
        <f>IF(I10&lt;&gt;"",VLOOKUP(I10,'[8]Sensibilidade ao Risco'!$E$2:$F$30,2,FALSE),"")</f>
        <v>Alta - 0,40</v>
      </c>
      <c r="K10" s="442">
        <f t="shared" si="1"/>
        <v>0.16000000000000003</v>
      </c>
      <c r="L10" s="435"/>
      <c r="M10" s="480">
        <f>ROUNDUP(Quantificar!G10/Qualificar!$M$2,2)</f>
        <v>1.2</v>
      </c>
      <c r="N10" s="480">
        <f>ROUNDUP(Quantificar!H10/Qualificar!$M$3,2)</f>
        <v>0.4</v>
      </c>
      <c r="AF10" s="448"/>
      <c r="AG10" s="447"/>
      <c r="AH10" s="446"/>
      <c r="AI10" s="445"/>
      <c r="AJ10" s="444"/>
    </row>
    <row r="11" spans="1:36" ht="34.5" thickBot="1" x14ac:dyDescent="0.25">
      <c r="A11" s="443" t="str">
        <f>IF(Identificar!A11&lt;&gt;"",Identificar!A11,"")</f>
        <v>R04</v>
      </c>
      <c r="B11" s="443" t="str">
        <f>IF(Identificar!D11&lt;&gt;"",Identificar!D11,"")</f>
        <v>Como resultado da falta de controle de acesso.</v>
      </c>
      <c r="C11" s="443" t="str">
        <f>IF(Identificar!E11&lt;&gt;"",Identificar!E11,"")</f>
        <v>Pode ocorrer acesso indevido e ataques.</v>
      </c>
      <c r="D11" s="443" t="str">
        <f>IF(Identificar!F11&lt;&gt;"",Identificar!F11,"")</f>
        <v>O que acarretaria vazamento de dados e vulnerabilidade nos sistemas.</v>
      </c>
      <c r="E11" s="443" t="str">
        <f>IF(Identificar!G11&lt;&gt;"",Identificar!G11,"")</f>
        <v/>
      </c>
      <c r="F11" s="485" t="s">
        <v>711</v>
      </c>
      <c r="G11" s="484" t="s">
        <v>713</v>
      </c>
      <c r="H11" s="483" t="s">
        <v>712</v>
      </c>
      <c r="I11" s="482">
        <f t="shared" si="0"/>
        <v>3.36</v>
      </c>
      <c r="J11" s="481" t="str">
        <f>IF(I11&lt;&gt;"",VLOOKUP(I11,'[8]Sensibilidade ao Risco'!$E$2:$F$30,2,FALSE),"")</f>
        <v>Muito Alta - 0,80</v>
      </c>
      <c r="K11" s="442">
        <f t="shared" si="1"/>
        <v>0.32000000000000006</v>
      </c>
      <c r="L11" s="435"/>
      <c r="M11" s="480">
        <f>ROUNDUP(Quantificar!G11/Qualificar!$M$2,2)</f>
        <v>2</v>
      </c>
      <c r="N11" s="480">
        <f>ROUNDUP(Quantificar!H11/Qualificar!$M$3,2)</f>
        <v>0.67</v>
      </c>
      <c r="AF11" s="448"/>
      <c r="AG11" s="447"/>
      <c r="AH11" s="446"/>
      <c r="AI11" s="445"/>
      <c r="AJ11" s="444"/>
    </row>
    <row r="12" spans="1:36" ht="34.5" thickBot="1" x14ac:dyDescent="0.25">
      <c r="A12" s="443" t="str">
        <f>IF(Identificar!A12&lt;&gt;"",Identificar!A12,"")</f>
        <v>R05</v>
      </c>
      <c r="B12" s="443" t="str">
        <f>IF(Identificar!D12&lt;&gt;"",Identificar!D12,"")</f>
        <v>Como resultado da não anonimização de dados.</v>
      </c>
      <c r="C12" s="443" t="str">
        <f>IF(Identificar!E12&lt;&gt;"",Identificar!E12,"")</f>
        <v>Pode ocorrer vazamento de dados pessoais.</v>
      </c>
      <c r="D12" s="443" t="str">
        <f>IF(Identificar!F12&lt;&gt;"",Identificar!F12,"")</f>
        <v>O que acarretaria exposição desses dados pessoais.</v>
      </c>
      <c r="E12" s="443" t="str">
        <f>IF(Identificar!G12&lt;&gt;"",Identificar!G12,"")</f>
        <v/>
      </c>
      <c r="F12" s="485" t="s">
        <v>711</v>
      </c>
      <c r="G12" s="484" t="s">
        <v>710</v>
      </c>
      <c r="H12" s="483" t="s">
        <v>715</v>
      </c>
      <c r="I12" s="482">
        <f t="shared" si="0"/>
        <v>3.9600000000000004</v>
      </c>
      <c r="J12" s="481" t="str">
        <f>IF(I12&lt;&gt;"",VLOOKUP(I12,'[8]Sensibilidade ao Risco'!$E$2:$F$30,2,FALSE),"")</f>
        <v>Muito Alta - 0,80</v>
      </c>
      <c r="K12" s="442">
        <f t="shared" si="1"/>
        <v>0.32000000000000006</v>
      </c>
      <c r="L12" s="435"/>
      <c r="M12" s="480">
        <f>ROUNDUP(Quantificar!G12/Qualificar!$M$2,2)</f>
        <v>2.5</v>
      </c>
      <c r="N12" s="480">
        <f>ROUNDUP(Quantificar!H12/Qualificar!$M$3,2)</f>
        <v>0.84</v>
      </c>
      <c r="AF12" s="448"/>
      <c r="AG12" s="447"/>
      <c r="AH12" s="446"/>
      <c r="AI12" s="445"/>
      <c r="AJ12" s="444"/>
    </row>
    <row r="13" spans="1:36" ht="34.5" thickBot="1" x14ac:dyDescent="0.25">
      <c r="A13" s="443" t="str">
        <f>IF(Identificar!A13&lt;&gt;"",Identificar!A13,"")</f>
        <v>R06</v>
      </c>
      <c r="B13" s="443" t="str">
        <f>IF(Identificar!D13&lt;&gt;"",Identificar!D13,"")</f>
        <v xml:space="preserve">Como resultado da falta de redundância e backups. </v>
      </c>
      <c r="C13" s="443" t="str">
        <f>IF(Identificar!E13&lt;&gt;"",Identificar!E13,"")</f>
        <v>Pode ocorrer comprometimento do sistema.</v>
      </c>
      <c r="D13" s="443" t="str">
        <f>IF(Identificar!F13&lt;&gt;"",Identificar!F13,"")</f>
        <v>O que acarretaria indisponibilidade do sistema.</v>
      </c>
      <c r="E13" s="443" t="str">
        <f>IF(Identificar!G13&lt;&gt;"",Identificar!G13,"")</f>
        <v/>
      </c>
      <c r="F13" s="485" t="s">
        <v>711</v>
      </c>
      <c r="G13" s="484" t="s">
        <v>716</v>
      </c>
      <c r="H13" s="483" t="s">
        <v>715</v>
      </c>
      <c r="I13" s="482">
        <f t="shared" si="0"/>
        <v>2.64</v>
      </c>
      <c r="J13" s="481" t="str">
        <f>IF(I13&lt;&gt;"",VLOOKUP(I13,'[8]Sensibilidade ao Risco'!$E$2:$F$30,2,FALSE),"")</f>
        <v>Alta - 0,40</v>
      </c>
      <c r="K13" s="442">
        <f t="shared" si="1"/>
        <v>0.16000000000000003</v>
      </c>
      <c r="L13" s="435"/>
      <c r="M13" s="480">
        <f>ROUNDUP(Quantificar!G13/Qualificar!$M$2,2)</f>
        <v>3</v>
      </c>
      <c r="N13" s="480">
        <f>ROUNDUP(Quantificar!H13/Qualificar!$M$3,2)</f>
        <v>1</v>
      </c>
      <c r="AF13" s="448"/>
      <c r="AG13" s="447"/>
      <c r="AH13" s="446"/>
      <c r="AI13" s="445"/>
      <c r="AJ13" s="444"/>
    </row>
    <row r="14" spans="1:36" ht="46.5" customHeight="1" thickBot="1" x14ac:dyDescent="0.25">
      <c r="A14" s="443" t="str">
        <f>IF(Identificar!A14&lt;&gt;"",Identificar!A14,"")</f>
        <v>R07</v>
      </c>
      <c r="B14" s="443" t="str">
        <f>IF(Identificar!D14&lt;&gt;"",Identificar!D14,"")</f>
        <v>Como resultado de falta de avaliação contínua.</v>
      </c>
      <c r="C14" s="443" t="str">
        <f>IF(Identificar!E14&lt;&gt;"",Identificar!E14,"")</f>
        <v>Pode ocorrer bugs não tratados e obsoleineidade do sistema.</v>
      </c>
      <c r="D14" s="443" t="str">
        <f>IF(Identificar!F14&lt;&gt;"",Identificar!F14,"")</f>
        <v>O que acarretaria baixa satisfação do usuário.</v>
      </c>
      <c r="E14" s="443" t="str">
        <f>IF(Identificar!G14&lt;&gt;"",Identificar!G14,"")</f>
        <v/>
      </c>
      <c r="F14" s="485" t="s">
        <v>714</v>
      </c>
      <c r="G14" s="484" t="s">
        <v>719</v>
      </c>
      <c r="H14" s="483" t="s">
        <v>721</v>
      </c>
      <c r="I14" s="482">
        <f t="shared" si="0"/>
        <v>2.2549999999999999</v>
      </c>
      <c r="J14" s="481" t="str">
        <f>IF(I14&lt;&gt;"",VLOOKUP(I14,'[8]Sensibilidade ao Risco'!$E$2:$F$30,2,FALSE),"")</f>
        <v>Baixa - 0,10</v>
      </c>
      <c r="K14" s="442">
        <f t="shared" si="1"/>
        <v>2.0000000000000004E-2</v>
      </c>
      <c r="L14" s="435"/>
      <c r="M14" s="480">
        <f>ROUNDUP(Quantificar!G14/Qualificar!$M$2,2)</f>
        <v>1</v>
      </c>
      <c r="N14" s="480">
        <f>ROUNDUP(Quantificar!H14/Qualificar!$M$3,2)</f>
        <v>0.34</v>
      </c>
      <c r="AF14" s="448"/>
      <c r="AG14" s="447"/>
      <c r="AH14" s="446"/>
      <c r="AI14" s="445"/>
      <c r="AJ14" s="444"/>
    </row>
    <row r="15" spans="1:36" ht="34.5" thickBot="1" x14ac:dyDescent="0.25">
      <c r="A15" s="443" t="str">
        <f>IF(Identificar!A15&lt;&gt;"",Identificar!A15,"")</f>
        <v>R08</v>
      </c>
      <c r="B15" s="443" t="str">
        <f>IF(Identificar!D15&lt;&gt;"",Identificar!D15,"")</f>
        <v xml:space="preserve">Como resultado da não observação das leis atuais. </v>
      </c>
      <c r="C15" s="443" t="str">
        <f>IF(Identificar!E15&lt;&gt;"",Identificar!E15,"")</f>
        <v>Pode ocorrer exposição de informações.</v>
      </c>
      <c r="D15" s="443" t="str">
        <f>IF(Identificar!F15&lt;&gt;"",Identificar!F15,"")</f>
        <v>O que acarretaria violação da LGPD e multas.</v>
      </c>
      <c r="E15" s="443" t="str">
        <f>IF(Identificar!G15&lt;&gt;"",Identificar!G15,"")</f>
        <v/>
      </c>
      <c r="F15" s="485" t="s">
        <v>711</v>
      </c>
      <c r="G15" s="484" t="s">
        <v>710</v>
      </c>
      <c r="H15" s="483" t="s">
        <v>715</v>
      </c>
      <c r="I15" s="482">
        <f t="shared" si="0"/>
        <v>3.9600000000000004</v>
      </c>
      <c r="J15" s="481" t="str">
        <f>IF(I15&lt;&gt;"",VLOOKUP(I15,'[8]Sensibilidade ao Risco'!$E$2:$F$30,2,FALSE),"")</f>
        <v>Muito Alta - 0,80</v>
      </c>
      <c r="K15" s="442">
        <f t="shared" si="1"/>
        <v>0.32000000000000006</v>
      </c>
      <c r="L15" s="435"/>
      <c r="M15" s="480">
        <f>ROUNDUP(Quantificar!G15/Qualificar!$M$2,2)</f>
        <v>2</v>
      </c>
      <c r="N15" s="480">
        <f>ROUNDUP(Quantificar!H15/Qualificar!$M$3,2)</f>
        <v>0.67</v>
      </c>
      <c r="AF15" s="448"/>
      <c r="AG15" s="447"/>
      <c r="AH15" s="446"/>
      <c r="AI15" s="445"/>
      <c r="AJ15" s="444"/>
    </row>
    <row r="16" spans="1:36" ht="34.5" thickBot="1" x14ac:dyDescent="0.25">
      <c r="A16" s="443" t="str">
        <f>IF(Identificar!A16&lt;&gt;"",Identificar!A16,"")</f>
        <v>R09</v>
      </c>
      <c r="B16" s="443" t="str">
        <f>IF(Identificar!D16&lt;&gt;"",Identificar!D16,"")</f>
        <v>Como resultado da falta de engajamento dos parceiros.</v>
      </c>
      <c r="C16" s="443" t="str">
        <f>IF(Identificar!E16&lt;&gt;"",Identificar!E16,"")</f>
        <v>Pode ocorrer que os stakeholders se frustem.</v>
      </c>
      <c r="D16" s="443" t="str">
        <f>IF(Identificar!F16&lt;&gt;"",Identificar!F16,"")</f>
        <v>O que acarretaria desconfiança do produto.</v>
      </c>
      <c r="E16" s="443" t="str">
        <f>IF(Identificar!G16&lt;&gt;"",Identificar!G16,"")</f>
        <v/>
      </c>
      <c r="F16" s="485" t="s">
        <v>717</v>
      </c>
      <c r="G16" s="484" t="s">
        <v>719</v>
      </c>
      <c r="H16" s="483" t="s">
        <v>721</v>
      </c>
      <c r="I16" s="482">
        <f t="shared" si="0"/>
        <v>2.2549999999999999</v>
      </c>
      <c r="J16" s="481" t="str">
        <f>IF(I16&lt;&gt;"",VLOOKUP(I16,'[8]Sensibilidade ao Risco'!$E$2:$F$30,2,FALSE),"")</f>
        <v>Baixa - 0,10</v>
      </c>
      <c r="K16" s="442">
        <f t="shared" si="1"/>
        <v>1.0000000000000002E-2</v>
      </c>
      <c r="L16" s="435"/>
      <c r="M16" s="480">
        <f>ROUNDUP(Quantificar!G16/Qualificar!$M$2,2)</f>
        <v>0.7</v>
      </c>
      <c r="N16" s="480">
        <f>ROUNDUP(Quantificar!H16/Qualificar!$M$3,2)</f>
        <v>0.24000000000000002</v>
      </c>
      <c r="AF16" s="448"/>
      <c r="AG16" s="447"/>
      <c r="AH16" s="446"/>
      <c r="AI16" s="445"/>
      <c r="AJ16" s="444"/>
    </row>
    <row r="17" spans="1:36" ht="23.25" thickBot="1" x14ac:dyDescent="0.25">
      <c r="A17" s="443" t="str">
        <f>IF(Identificar!A17&lt;&gt;"",Identificar!A17,"")</f>
        <v>R10</v>
      </c>
      <c r="B17" s="443" t="str">
        <f>IF(Identificar!D17&lt;&gt;"",Identificar!D17,"")</f>
        <v>Como resultado da falta de gestão de mudanças.</v>
      </c>
      <c r="C17" s="443" t="str">
        <f>IF(Identificar!E17&lt;&gt;"",Identificar!E17,"")</f>
        <v>Pode ocorrer atraso no desenvolvimento.</v>
      </c>
      <c r="D17" s="443" t="str">
        <f>IF(Identificar!F17&lt;&gt;"",Identificar!F17,"")</f>
        <v>O que acarretaria atrasos e instabilidades.</v>
      </c>
      <c r="E17" s="443" t="str">
        <f>IF(Identificar!G17&lt;&gt;"",Identificar!G17,"")</f>
        <v/>
      </c>
      <c r="F17" s="485" t="s">
        <v>714</v>
      </c>
      <c r="G17" s="484" t="s">
        <v>719</v>
      </c>
      <c r="H17" s="483" t="s">
        <v>715</v>
      </c>
      <c r="I17" s="482">
        <f t="shared" si="0"/>
        <v>2.4200000000000004</v>
      </c>
      <c r="J17" s="481" t="str">
        <f>IF(I17&lt;&gt;"",VLOOKUP(I17,'[8]Sensibilidade ao Risco'!$E$2:$F$30,2,FALSE),"")</f>
        <v>Moderada - 0,20</v>
      </c>
      <c r="K17" s="442">
        <f t="shared" si="1"/>
        <v>4.0000000000000008E-2</v>
      </c>
      <c r="L17" s="435"/>
      <c r="M17" s="480">
        <f>ROUNDUP(Quantificar!G17/Qualificar!$M$2,2)</f>
        <v>1.5</v>
      </c>
      <c r="N17" s="480">
        <f>ROUNDUP(Quantificar!H17/Qualificar!$M$3,2)</f>
        <v>0.5</v>
      </c>
      <c r="AF17" s="448"/>
      <c r="AG17" s="447"/>
      <c r="AH17" s="446"/>
      <c r="AI17" s="445"/>
      <c r="AJ17" s="444"/>
    </row>
    <row r="18" spans="1:36" ht="13.5" thickBot="1" x14ac:dyDescent="0.25">
      <c r="A18" s="443" t="str">
        <f>IF(Identificar!A18&lt;&gt;"",Identificar!A18,"")</f>
        <v>R11</v>
      </c>
      <c r="B18" s="443" t="str">
        <f>IF(Identificar!D18&lt;&gt;"",Identificar!D18,"")</f>
        <v/>
      </c>
      <c r="C18" s="443" t="str">
        <f>IF(Identificar!E18&lt;&gt;"",Identificar!E18,"")</f>
        <v/>
      </c>
      <c r="D18" s="443" t="str">
        <f>IF(Identificar!F18&lt;&gt;"",Identificar!F18,"")</f>
        <v/>
      </c>
      <c r="E18" s="443" t="str">
        <f>IF(Identificar!G18&lt;&gt;"",Identificar!G18,"")</f>
        <v/>
      </c>
      <c r="F18" s="485"/>
      <c r="G18" s="484"/>
      <c r="H18" s="483"/>
      <c r="I18" s="482" t="str">
        <f t="shared" si="0"/>
        <v/>
      </c>
      <c r="J18" s="481" t="str">
        <f>IF(I18&lt;&gt;"",VLOOKUP(I18,'[8]Sensibilidade ao Risco'!$E$2:$F$30,2,FALSE),"")</f>
        <v/>
      </c>
      <c r="K18" s="442" t="str">
        <f t="shared" si="1"/>
        <v/>
      </c>
      <c r="L18" s="435"/>
      <c r="M18" s="480">
        <f>ROUNDUP(Quantificar!G18/Qualificar!$M$2,2)</f>
        <v>0</v>
      </c>
      <c r="N18" s="480">
        <f>ROUNDUP(Quantificar!H18/Qualificar!$M$3,2)</f>
        <v>0</v>
      </c>
      <c r="AF18" s="448"/>
      <c r="AG18" s="447"/>
      <c r="AH18" s="446"/>
      <c r="AI18" s="445"/>
      <c r="AJ18" s="444"/>
    </row>
    <row r="19" spans="1:36" ht="13.5" thickBot="1" x14ac:dyDescent="0.25">
      <c r="A19" s="443" t="str">
        <f>IF(Identificar!A19&lt;&gt;"",Identificar!A19,"")</f>
        <v>R12</v>
      </c>
      <c r="B19" s="443" t="str">
        <f>IF(Identificar!D19&lt;&gt;"",Identificar!D19,"")</f>
        <v/>
      </c>
      <c r="C19" s="443" t="str">
        <f>IF(Identificar!E19&lt;&gt;"",Identificar!E19,"")</f>
        <v/>
      </c>
      <c r="D19" s="443" t="str">
        <f>IF(Identificar!F19&lt;&gt;"",Identificar!F19,"")</f>
        <v/>
      </c>
      <c r="E19" s="443" t="str">
        <f>IF(Identificar!G19&lt;&gt;"",Identificar!G19,"")</f>
        <v/>
      </c>
      <c r="F19" s="485"/>
      <c r="G19" s="484"/>
      <c r="H19" s="483"/>
      <c r="I19" s="482" t="str">
        <f t="shared" si="0"/>
        <v/>
      </c>
      <c r="J19" s="481" t="str">
        <f>IF(I19&lt;&gt;"",VLOOKUP(I19,'[8]Sensibilidade ao Risco'!$E$2:$F$30,2,FALSE),"")</f>
        <v/>
      </c>
      <c r="K19" s="442" t="str">
        <f t="shared" si="1"/>
        <v/>
      </c>
      <c r="L19" s="435"/>
      <c r="M19" s="480">
        <f>ROUNDUP(Quantificar!G19/Qualificar!$M$2,2)</f>
        <v>0</v>
      </c>
      <c r="N19" s="480">
        <f>ROUNDUP(Quantificar!H19/Qualificar!$M$3,2)</f>
        <v>0</v>
      </c>
      <c r="AF19" s="448"/>
      <c r="AG19" s="447"/>
      <c r="AH19" s="446"/>
      <c r="AI19" s="445"/>
      <c r="AJ19" s="444"/>
    </row>
    <row r="20" spans="1:36" x14ac:dyDescent="0.2">
      <c r="A20" s="443" t="str">
        <f>IF(Identificar!A20&lt;&gt;"",Identificar!A20,"")</f>
        <v>R13</v>
      </c>
      <c r="B20" s="443" t="str">
        <f>IF(Identificar!D20&lt;&gt;"",Identificar!D20,"")</f>
        <v/>
      </c>
      <c r="C20" s="443" t="str">
        <f>IF(Identificar!E20&lt;&gt;"",Identificar!E20,"")</f>
        <v/>
      </c>
      <c r="D20" s="443" t="str">
        <f>IF(Identificar!F20&lt;&gt;"",Identificar!F20,"")</f>
        <v/>
      </c>
      <c r="E20" s="443" t="str">
        <f>IF(Identificar!G20&lt;&gt;"",Identificar!G20,"")</f>
        <v/>
      </c>
      <c r="F20" s="485"/>
      <c r="G20" s="484"/>
      <c r="H20" s="483"/>
      <c r="I20" s="482" t="str">
        <f t="shared" si="0"/>
        <v/>
      </c>
      <c r="J20" s="481" t="str">
        <f>IF(I20&lt;&gt;"",VLOOKUP(I20,'[8]Sensibilidade ao Risco'!$E$2:$F$30,2,FALSE),"")</f>
        <v/>
      </c>
      <c r="K20" s="442" t="str">
        <f t="shared" si="1"/>
        <v/>
      </c>
      <c r="L20" s="435"/>
      <c r="M20" s="480">
        <f>ROUNDUP(Quantificar!G20/Qualificar!$M$2,2)</f>
        <v>0</v>
      </c>
      <c r="N20" s="480">
        <f>ROUNDUP(Quantificar!H20/Qualificar!$M$3,2)</f>
        <v>0</v>
      </c>
    </row>
    <row r="21" spans="1:36" x14ac:dyDescent="0.2">
      <c r="A21" s="443" t="str">
        <f>IF(Identificar!A21&lt;&gt;"",Identificar!A21,"")</f>
        <v>R14</v>
      </c>
      <c r="B21" s="443" t="str">
        <f>IF(Identificar!D21&lt;&gt;"",Identificar!D21,"")</f>
        <v/>
      </c>
      <c r="C21" s="443" t="str">
        <f>IF(Identificar!E21&lt;&gt;"",Identificar!E21,"")</f>
        <v/>
      </c>
      <c r="D21" s="443" t="str">
        <f>IF(Identificar!F21&lt;&gt;"",Identificar!F21,"")</f>
        <v/>
      </c>
      <c r="E21" s="443" t="str">
        <f>IF(Identificar!G21&lt;&gt;"",Identificar!G21,"")</f>
        <v/>
      </c>
      <c r="F21" s="485"/>
      <c r="G21" s="484"/>
      <c r="H21" s="483"/>
      <c r="I21" s="482" t="str">
        <f t="shared" si="0"/>
        <v/>
      </c>
      <c r="J21" s="481" t="str">
        <f>IF(I21&lt;&gt;"",VLOOKUP(I21,'[8]Sensibilidade ao Risco'!$E$2:$F$30,2,FALSE),"")</f>
        <v/>
      </c>
      <c r="K21" s="442" t="str">
        <f t="shared" si="1"/>
        <v/>
      </c>
      <c r="L21" s="435"/>
      <c r="M21" s="480">
        <f>ROUNDUP(Quantificar!G21/Qualificar!$M$2,2)</f>
        <v>0</v>
      </c>
      <c r="N21" s="480">
        <f>ROUNDUP(Quantificar!H21/Qualificar!$M$3,2)</f>
        <v>0</v>
      </c>
    </row>
    <row r="22" spans="1:36" x14ac:dyDescent="0.2">
      <c r="A22" s="443" t="str">
        <f>IF(Identificar!A22&lt;&gt;"",Identificar!A22,"")</f>
        <v>R15</v>
      </c>
      <c r="B22" s="443" t="str">
        <f>IF(Identificar!D22&lt;&gt;"",Identificar!D22,"")</f>
        <v/>
      </c>
      <c r="C22" s="443" t="str">
        <f>IF(Identificar!E22&lt;&gt;"",Identificar!E22,"")</f>
        <v/>
      </c>
      <c r="D22" s="443" t="str">
        <f>IF(Identificar!F22&lt;&gt;"",Identificar!F22,"")</f>
        <v/>
      </c>
      <c r="E22" s="443" t="str">
        <f>IF(Identificar!G22&lt;&gt;"",Identificar!G22,"")</f>
        <v/>
      </c>
      <c r="F22" s="485"/>
      <c r="G22" s="484"/>
      <c r="H22" s="483"/>
      <c r="I22" s="482" t="str">
        <f t="shared" si="0"/>
        <v/>
      </c>
      <c r="J22" s="481" t="str">
        <f>IF(I22&lt;&gt;"",VLOOKUP(I22,'[8]Sensibilidade ao Risco'!$E$2:$F$30,2,FALSE),"")</f>
        <v/>
      </c>
      <c r="K22" s="442" t="str">
        <f t="shared" si="1"/>
        <v/>
      </c>
      <c r="L22" s="435"/>
      <c r="M22" s="480">
        <f>ROUNDUP(Quantificar!G22/Qualificar!$M$2,2)</f>
        <v>0</v>
      </c>
      <c r="N22" s="480">
        <f>ROUNDUP(Quantificar!H22/Qualificar!$M$3,2)</f>
        <v>0</v>
      </c>
    </row>
    <row r="23" spans="1:36" x14ac:dyDescent="0.2">
      <c r="A23" s="443" t="str">
        <f>IF(Identificar!A23&lt;&gt;"",Identificar!A23,"")</f>
        <v>R16</v>
      </c>
      <c r="B23" s="443" t="str">
        <f>IF(Identificar!D23&lt;&gt;"",Identificar!D23,"")</f>
        <v/>
      </c>
      <c r="C23" s="443" t="str">
        <f>IF(Identificar!E23&lt;&gt;"",Identificar!E23,"")</f>
        <v/>
      </c>
      <c r="D23" s="443" t="str">
        <f>IF(Identificar!F23&lt;&gt;"",Identificar!F23,"")</f>
        <v/>
      </c>
      <c r="E23" s="443" t="str">
        <f>IF(Identificar!G23&lt;&gt;"",Identificar!G23,"")</f>
        <v/>
      </c>
      <c r="F23" s="485"/>
      <c r="G23" s="484"/>
      <c r="H23" s="483"/>
      <c r="I23" s="482" t="str">
        <f t="shared" si="0"/>
        <v/>
      </c>
      <c r="J23" s="481" t="str">
        <f>IF(I23&lt;&gt;"",VLOOKUP(I23,'[8]Sensibilidade ao Risco'!$E$2:$F$30,2,FALSE),"")</f>
        <v/>
      </c>
      <c r="K23" s="442" t="str">
        <f t="shared" si="1"/>
        <v/>
      </c>
      <c r="L23" s="435"/>
      <c r="M23" s="480">
        <f>ROUNDUP(Quantificar!G23/Qualificar!$M$2,2)</f>
        <v>0</v>
      </c>
      <c r="N23" s="480">
        <f>ROUNDUP(Quantificar!H23/Qualificar!$M$3,2)</f>
        <v>0</v>
      </c>
    </row>
    <row r="24" spans="1:36" x14ac:dyDescent="0.2">
      <c r="A24" s="443" t="str">
        <f>IF(Identificar!A24&lt;&gt;"",Identificar!A24,"")</f>
        <v>R17</v>
      </c>
      <c r="B24" s="443" t="str">
        <f>IF(Identificar!D24&lt;&gt;"",Identificar!D24,"")</f>
        <v/>
      </c>
      <c r="C24" s="443" t="str">
        <f>IF(Identificar!E24&lt;&gt;"",Identificar!E24,"")</f>
        <v/>
      </c>
      <c r="D24" s="443" t="str">
        <f>IF(Identificar!F24&lt;&gt;"",Identificar!F24,"")</f>
        <v/>
      </c>
      <c r="E24" s="443" t="str">
        <f>IF(Identificar!G24&lt;&gt;"",Identificar!G24,"")</f>
        <v/>
      </c>
      <c r="F24" s="485"/>
      <c r="G24" s="484"/>
      <c r="H24" s="483"/>
      <c r="I24" s="482" t="str">
        <f t="shared" si="0"/>
        <v/>
      </c>
      <c r="J24" s="481" t="str">
        <f>IF(I24&lt;&gt;"",VLOOKUP(I24,'[8]Sensibilidade ao Risco'!$E$2:$F$30,2,FALSE),"")</f>
        <v/>
      </c>
      <c r="K24" s="442" t="str">
        <f t="shared" si="1"/>
        <v/>
      </c>
      <c r="L24" s="435"/>
      <c r="M24" s="480">
        <f>ROUNDUP(Quantificar!G24/Qualificar!$M$2,2)</f>
        <v>0</v>
      </c>
      <c r="N24" s="480">
        <f>ROUNDUP(Quantificar!H24/Qualificar!$M$3,2)</f>
        <v>0</v>
      </c>
    </row>
    <row r="25" spans="1:36" x14ac:dyDescent="0.2">
      <c r="A25" s="443" t="str">
        <f>IF(Identificar!A25&lt;&gt;"",Identificar!A25,"")</f>
        <v>R18</v>
      </c>
      <c r="B25" s="443" t="str">
        <f>IF(Identificar!D25&lt;&gt;"",Identificar!D25,"")</f>
        <v/>
      </c>
      <c r="C25" s="443" t="str">
        <f>IF(Identificar!E25&lt;&gt;"",Identificar!E25,"")</f>
        <v/>
      </c>
      <c r="D25" s="443" t="str">
        <f>IF(Identificar!F25&lt;&gt;"",Identificar!F25,"")</f>
        <v/>
      </c>
      <c r="E25" s="443" t="str">
        <f>IF(Identificar!G25&lt;&gt;"",Identificar!G25,"")</f>
        <v/>
      </c>
      <c r="F25" s="485"/>
      <c r="G25" s="484"/>
      <c r="H25" s="483"/>
      <c r="I25" s="482" t="str">
        <f t="shared" si="0"/>
        <v/>
      </c>
      <c r="J25" s="481" t="str">
        <f>IF(I25&lt;&gt;"",VLOOKUP(I25,'[8]Sensibilidade ao Risco'!$E$2:$F$30,2,FALSE),"")</f>
        <v/>
      </c>
      <c r="K25" s="442" t="str">
        <f t="shared" si="1"/>
        <v/>
      </c>
      <c r="L25" s="435"/>
      <c r="M25" s="480">
        <f>ROUNDUP(Quantificar!G25/Qualificar!$M$2,2)</f>
        <v>0</v>
      </c>
      <c r="N25" s="480">
        <f>ROUNDUP(Quantificar!H25/Qualificar!$M$3,2)</f>
        <v>0</v>
      </c>
    </row>
    <row r="26" spans="1:36" x14ac:dyDescent="0.2">
      <c r="A26" s="443" t="str">
        <f>IF(Identificar!A26&lt;&gt;"",Identificar!A26,"")</f>
        <v>R19</v>
      </c>
      <c r="B26" s="443" t="str">
        <f>IF(Identificar!D26&lt;&gt;"",Identificar!D26,"")</f>
        <v/>
      </c>
      <c r="C26" s="443" t="str">
        <f>IF(Identificar!E26&lt;&gt;"",Identificar!E26,"")</f>
        <v/>
      </c>
      <c r="D26" s="443" t="str">
        <f>IF(Identificar!F26&lt;&gt;"",Identificar!F26,"")</f>
        <v/>
      </c>
      <c r="E26" s="443" t="str">
        <f>IF(Identificar!G26&lt;&gt;"",Identificar!G26,"")</f>
        <v/>
      </c>
      <c r="F26" s="485"/>
      <c r="G26" s="484"/>
      <c r="H26" s="483"/>
      <c r="I26" s="482" t="str">
        <f t="shared" si="0"/>
        <v/>
      </c>
      <c r="J26" s="481" t="str">
        <f>IF(I26&lt;&gt;"",VLOOKUP(I26,'[8]Sensibilidade ao Risco'!$E$2:$F$30,2,FALSE),"")</f>
        <v/>
      </c>
      <c r="K26" s="442" t="str">
        <f t="shared" si="1"/>
        <v/>
      </c>
      <c r="L26" s="435"/>
      <c r="M26" s="480">
        <f>ROUNDUP(Quantificar!G26/Qualificar!$M$2,2)</f>
        <v>0</v>
      </c>
      <c r="N26" s="480">
        <f>ROUNDUP(Quantificar!H26/Qualificar!$M$3,2)</f>
        <v>0</v>
      </c>
    </row>
    <row r="27" spans="1:36" x14ac:dyDescent="0.2">
      <c r="A27" s="443" t="str">
        <f>IF(Identificar!A27&lt;&gt;"",Identificar!A27,"")</f>
        <v>R20</v>
      </c>
      <c r="B27" s="443" t="str">
        <f>IF(Identificar!D27&lt;&gt;"",Identificar!D27,"")</f>
        <v/>
      </c>
      <c r="C27" s="443" t="str">
        <f>IF(Identificar!E27&lt;&gt;"",Identificar!E27,"")</f>
        <v/>
      </c>
      <c r="D27" s="443" t="str">
        <f>IF(Identificar!F27&lt;&gt;"",Identificar!F27,"")</f>
        <v/>
      </c>
      <c r="E27" s="443" t="str">
        <f>IF(Identificar!G27&lt;&gt;"",Identificar!G27,"")</f>
        <v/>
      </c>
      <c r="F27" s="485"/>
      <c r="G27" s="484"/>
      <c r="H27" s="483"/>
      <c r="I27" s="482" t="str">
        <f t="shared" si="0"/>
        <v/>
      </c>
      <c r="J27" s="481" t="str">
        <f>IF(I27&lt;&gt;"",VLOOKUP(I27,'[8]Sensibilidade ao Risco'!$E$2:$F$30,2,FALSE),"")</f>
        <v/>
      </c>
      <c r="K27" s="442" t="str">
        <f t="shared" si="1"/>
        <v/>
      </c>
      <c r="L27" s="435"/>
      <c r="M27" s="480">
        <f>ROUNDUP(Quantificar!G27/Qualificar!$M$2,2)</f>
        <v>0</v>
      </c>
      <c r="N27" s="480">
        <f>ROUNDUP(Quantificar!H27/Qualificar!$M$3,2)</f>
        <v>0</v>
      </c>
    </row>
    <row r="28" spans="1:36" x14ac:dyDescent="0.2">
      <c r="A28" s="443"/>
      <c r="B28" s="443"/>
      <c r="C28" s="443"/>
      <c r="D28" s="443"/>
      <c r="E28" s="443"/>
      <c r="F28" s="485"/>
      <c r="G28" s="484"/>
      <c r="H28" s="483"/>
      <c r="I28" s="482"/>
      <c r="J28" s="481"/>
      <c r="K28" s="442"/>
      <c r="L28" s="435"/>
      <c r="M28" s="480"/>
      <c r="N28" s="480"/>
    </row>
    <row r="48" spans="6:8" ht="22.5" x14ac:dyDescent="0.2">
      <c r="F48" s="479" t="s">
        <v>722</v>
      </c>
      <c r="G48" s="479" t="s">
        <v>721</v>
      </c>
      <c r="H48" s="479" t="s">
        <v>720</v>
      </c>
    </row>
    <row r="49" spans="6:8" ht="22.5" x14ac:dyDescent="0.2">
      <c r="F49" s="479" t="s">
        <v>719</v>
      </c>
      <c r="G49" s="479" t="s">
        <v>718</v>
      </c>
      <c r="H49" s="479" t="s">
        <v>717</v>
      </c>
    </row>
    <row r="50" spans="6:8" ht="22.5" x14ac:dyDescent="0.2">
      <c r="F50" s="479" t="s">
        <v>716</v>
      </c>
      <c r="G50" s="479" t="s">
        <v>715</v>
      </c>
      <c r="H50" s="479" t="s">
        <v>714</v>
      </c>
    </row>
    <row r="51" spans="6:8" ht="22.5" x14ac:dyDescent="0.2">
      <c r="F51" s="479" t="s">
        <v>713</v>
      </c>
      <c r="G51" s="479" t="s">
        <v>712</v>
      </c>
      <c r="H51" s="479" t="s">
        <v>711</v>
      </c>
    </row>
    <row r="52" spans="6:8" ht="22.5" x14ac:dyDescent="0.2">
      <c r="F52" s="479" t="s">
        <v>710</v>
      </c>
      <c r="G52" s="479" t="s">
        <v>709</v>
      </c>
      <c r="H52" s="479" t="s">
        <v>708</v>
      </c>
    </row>
  </sheetData>
  <autoFilter ref="A6:K27" xr:uid="{120FFBA8-B1E3-4E15-92B8-349BFBCB28A5}">
    <filterColumn colId="1" showButton="0"/>
    <filterColumn colId="2" showButton="0"/>
    <filterColumn colId="8" showButton="0"/>
  </autoFilter>
  <mergeCells count="12">
    <mergeCell ref="A1:E3"/>
    <mergeCell ref="AI1:AJ1"/>
    <mergeCell ref="F6:F7"/>
    <mergeCell ref="K6:K7"/>
    <mergeCell ref="G6:J6"/>
    <mergeCell ref="AF1:AG1"/>
    <mergeCell ref="M6:M7"/>
    <mergeCell ref="A4:E5"/>
    <mergeCell ref="A6:A7"/>
    <mergeCell ref="N6:N7"/>
    <mergeCell ref="B6:D6"/>
    <mergeCell ref="E6:E7"/>
  </mergeCells>
  <conditionalFormatting sqref="K8:K28">
    <cfRule type="cellIs" dxfId="5" priority="1" stopIfTrue="1" operator="between">
      <formula>0.005</formula>
      <formula>0.04</formula>
    </cfRule>
    <cfRule type="cellIs" dxfId="4" priority="2" stopIfTrue="1" operator="between">
      <formula>0.05</formula>
      <formula>0.17</formula>
    </cfRule>
    <cfRule type="cellIs" dxfId="3" priority="3" stopIfTrue="1" operator="between">
      <formula>0.18</formula>
      <formula>0.81</formula>
    </cfRule>
  </conditionalFormatting>
  <dataValidations count="3">
    <dataValidation type="list" allowBlank="1" showInputMessage="1" showErrorMessage="1" sqref="F8:F28 JB8:JB28 SX8:SX28 ACT8:ACT28 AMP8:AMP28 AWL8:AWL28 BGH8:BGH28 BQD8:BQD28 BZZ8:BZZ28 CJV8:CJV28 CTR8:CTR28 DDN8:DDN28 DNJ8:DNJ28 DXF8:DXF28 EHB8:EHB28 EQX8:EQX28 FAT8:FAT28 FKP8:FKP28 FUL8:FUL28 GEH8:GEH28 GOD8:GOD28 GXZ8:GXZ28 HHV8:HHV28 HRR8:HRR28 IBN8:IBN28 ILJ8:ILJ28 IVF8:IVF28 JFB8:JFB28 JOX8:JOX28 JYT8:JYT28 KIP8:KIP28 KSL8:KSL28 LCH8:LCH28 LMD8:LMD28 LVZ8:LVZ28 MFV8:MFV28 MPR8:MPR28 MZN8:MZN28 NJJ8:NJJ28 NTF8:NTF28 ODB8:ODB28 OMX8:OMX28 OWT8:OWT28 PGP8:PGP28 PQL8:PQL28 QAH8:QAH28 QKD8:QKD28 QTZ8:QTZ28 RDV8:RDV28 RNR8:RNR28 RXN8:RXN28 SHJ8:SHJ28 SRF8:SRF28 TBB8:TBB28 TKX8:TKX28 TUT8:TUT28 UEP8:UEP28 UOL8:UOL28 UYH8:UYH28 VID8:VID28 VRZ8:VRZ28 WBV8:WBV28 WLR8:WLR28 WVN8:WVN28 F65544:F65564 JB65544:JB65564 SX65544:SX65564 ACT65544:ACT65564 AMP65544:AMP65564 AWL65544:AWL65564 BGH65544:BGH65564 BQD65544:BQD65564 BZZ65544:BZZ65564 CJV65544:CJV65564 CTR65544:CTR65564 DDN65544:DDN65564 DNJ65544:DNJ65564 DXF65544:DXF65564 EHB65544:EHB65564 EQX65544:EQX65564 FAT65544:FAT65564 FKP65544:FKP65564 FUL65544:FUL65564 GEH65544:GEH65564 GOD65544:GOD65564 GXZ65544:GXZ65564 HHV65544:HHV65564 HRR65544:HRR65564 IBN65544:IBN65564 ILJ65544:ILJ65564 IVF65544:IVF65564 JFB65544:JFB65564 JOX65544:JOX65564 JYT65544:JYT65564 KIP65544:KIP65564 KSL65544:KSL65564 LCH65544:LCH65564 LMD65544:LMD65564 LVZ65544:LVZ65564 MFV65544:MFV65564 MPR65544:MPR65564 MZN65544:MZN65564 NJJ65544:NJJ65564 NTF65544:NTF65564 ODB65544:ODB65564 OMX65544:OMX65564 OWT65544:OWT65564 PGP65544:PGP65564 PQL65544:PQL65564 QAH65544:QAH65564 QKD65544:QKD65564 QTZ65544:QTZ65564 RDV65544:RDV65564 RNR65544:RNR65564 RXN65544:RXN65564 SHJ65544:SHJ65564 SRF65544:SRF65564 TBB65544:TBB65564 TKX65544:TKX65564 TUT65544:TUT65564 UEP65544:UEP65564 UOL65544:UOL65564 UYH65544:UYH65564 VID65544:VID65564 VRZ65544:VRZ65564 WBV65544:WBV65564 WLR65544:WLR65564 WVN65544:WVN65564 F131080:F131100 JB131080:JB131100 SX131080:SX131100 ACT131080:ACT131100 AMP131080:AMP131100 AWL131080:AWL131100 BGH131080:BGH131100 BQD131080:BQD131100 BZZ131080:BZZ131100 CJV131080:CJV131100 CTR131080:CTR131100 DDN131080:DDN131100 DNJ131080:DNJ131100 DXF131080:DXF131100 EHB131080:EHB131100 EQX131080:EQX131100 FAT131080:FAT131100 FKP131080:FKP131100 FUL131080:FUL131100 GEH131080:GEH131100 GOD131080:GOD131100 GXZ131080:GXZ131100 HHV131080:HHV131100 HRR131080:HRR131100 IBN131080:IBN131100 ILJ131080:ILJ131100 IVF131080:IVF131100 JFB131080:JFB131100 JOX131080:JOX131100 JYT131080:JYT131100 KIP131080:KIP131100 KSL131080:KSL131100 LCH131080:LCH131100 LMD131080:LMD131100 LVZ131080:LVZ131100 MFV131080:MFV131100 MPR131080:MPR131100 MZN131080:MZN131100 NJJ131080:NJJ131100 NTF131080:NTF131100 ODB131080:ODB131100 OMX131080:OMX131100 OWT131080:OWT131100 PGP131080:PGP131100 PQL131080:PQL131100 QAH131080:QAH131100 QKD131080:QKD131100 QTZ131080:QTZ131100 RDV131080:RDV131100 RNR131080:RNR131100 RXN131080:RXN131100 SHJ131080:SHJ131100 SRF131080:SRF131100 TBB131080:TBB131100 TKX131080:TKX131100 TUT131080:TUT131100 UEP131080:UEP131100 UOL131080:UOL131100 UYH131080:UYH131100 VID131080:VID131100 VRZ131080:VRZ131100 WBV131080:WBV131100 WLR131080:WLR131100 WVN131080:WVN131100 F196616:F196636 JB196616:JB196636 SX196616:SX196636 ACT196616:ACT196636 AMP196616:AMP196636 AWL196616:AWL196636 BGH196616:BGH196636 BQD196616:BQD196636 BZZ196616:BZZ196636 CJV196616:CJV196636 CTR196616:CTR196636 DDN196616:DDN196636 DNJ196616:DNJ196636 DXF196616:DXF196636 EHB196616:EHB196636 EQX196616:EQX196636 FAT196616:FAT196636 FKP196616:FKP196636 FUL196616:FUL196636 GEH196616:GEH196636 GOD196616:GOD196636 GXZ196616:GXZ196636 HHV196616:HHV196636 HRR196616:HRR196636 IBN196616:IBN196636 ILJ196616:ILJ196636 IVF196616:IVF196636 JFB196616:JFB196636 JOX196616:JOX196636 JYT196616:JYT196636 KIP196616:KIP196636 KSL196616:KSL196636 LCH196616:LCH196636 LMD196616:LMD196636 LVZ196616:LVZ196636 MFV196616:MFV196636 MPR196616:MPR196636 MZN196616:MZN196636 NJJ196616:NJJ196636 NTF196616:NTF196636 ODB196616:ODB196636 OMX196616:OMX196636 OWT196616:OWT196636 PGP196616:PGP196636 PQL196616:PQL196636 QAH196616:QAH196636 QKD196616:QKD196636 QTZ196616:QTZ196636 RDV196616:RDV196636 RNR196616:RNR196636 RXN196616:RXN196636 SHJ196616:SHJ196636 SRF196616:SRF196636 TBB196616:TBB196636 TKX196616:TKX196636 TUT196616:TUT196636 UEP196616:UEP196636 UOL196616:UOL196636 UYH196616:UYH196636 VID196616:VID196636 VRZ196616:VRZ196636 WBV196616:WBV196636 WLR196616:WLR196636 WVN196616:WVN196636 F262152:F262172 JB262152:JB262172 SX262152:SX262172 ACT262152:ACT262172 AMP262152:AMP262172 AWL262152:AWL262172 BGH262152:BGH262172 BQD262152:BQD262172 BZZ262152:BZZ262172 CJV262152:CJV262172 CTR262152:CTR262172 DDN262152:DDN262172 DNJ262152:DNJ262172 DXF262152:DXF262172 EHB262152:EHB262172 EQX262152:EQX262172 FAT262152:FAT262172 FKP262152:FKP262172 FUL262152:FUL262172 GEH262152:GEH262172 GOD262152:GOD262172 GXZ262152:GXZ262172 HHV262152:HHV262172 HRR262152:HRR262172 IBN262152:IBN262172 ILJ262152:ILJ262172 IVF262152:IVF262172 JFB262152:JFB262172 JOX262152:JOX262172 JYT262152:JYT262172 KIP262152:KIP262172 KSL262152:KSL262172 LCH262152:LCH262172 LMD262152:LMD262172 LVZ262152:LVZ262172 MFV262152:MFV262172 MPR262152:MPR262172 MZN262152:MZN262172 NJJ262152:NJJ262172 NTF262152:NTF262172 ODB262152:ODB262172 OMX262152:OMX262172 OWT262152:OWT262172 PGP262152:PGP262172 PQL262152:PQL262172 QAH262152:QAH262172 QKD262152:QKD262172 QTZ262152:QTZ262172 RDV262152:RDV262172 RNR262152:RNR262172 RXN262152:RXN262172 SHJ262152:SHJ262172 SRF262152:SRF262172 TBB262152:TBB262172 TKX262152:TKX262172 TUT262152:TUT262172 UEP262152:UEP262172 UOL262152:UOL262172 UYH262152:UYH262172 VID262152:VID262172 VRZ262152:VRZ262172 WBV262152:WBV262172 WLR262152:WLR262172 WVN262152:WVN262172 F327688:F327708 JB327688:JB327708 SX327688:SX327708 ACT327688:ACT327708 AMP327688:AMP327708 AWL327688:AWL327708 BGH327688:BGH327708 BQD327688:BQD327708 BZZ327688:BZZ327708 CJV327688:CJV327708 CTR327688:CTR327708 DDN327688:DDN327708 DNJ327688:DNJ327708 DXF327688:DXF327708 EHB327688:EHB327708 EQX327688:EQX327708 FAT327688:FAT327708 FKP327688:FKP327708 FUL327688:FUL327708 GEH327688:GEH327708 GOD327688:GOD327708 GXZ327688:GXZ327708 HHV327688:HHV327708 HRR327688:HRR327708 IBN327688:IBN327708 ILJ327688:ILJ327708 IVF327688:IVF327708 JFB327688:JFB327708 JOX327688:JOX327708 JYT327688:JYT327708 KIP327688:KIP327708 KSL327688:KSL327708 LCH327688:LCH327708 LMD327688:LMD327708 LVZ327688:LVZ327708 MFV327688:MFV327708 MPR327688:MPR327708 MZN327688:MZN327708 NJJ327688:NJJ327708 NTF327688:NTF327708 ODB327688:ODB327708 OMX327688:OMX327708 OWT327688:OWT327708 PGP327688:PGP327708 PQL327688:PQL327708 QAH327688:QAH327708 QKD327688:QKD327708 QTZ327688:QTZ327708 RDV327688:RDV327708 RNR327688:RNR327708 RXN327688:RXN327708 SHJ327688:SHJ327708 SRF327688:SRF327708 TBB327688:TBB327708 TKX327688:TKX327708 TUT327688:TUT327708 UEP327688:UEP327708 UOL327688:UOL327708 UYH327688:UYH327708 VID327688:VID327708 VRZ327688:VRZ327708 WBV327688:WBV327708 WLR327688:WLR327708 WVN327688:WVN327708 F393224:F393244 JB393224:JB393244 SX393224:SX393244 ACT393224:ACT393244 AMP393224:AMP393244 AWL393224:AWL393244 BGH393224:BGH393244 BQD393224:BQD393244 BZZ393224:BZZ393244 CJV393224:CJV393244 CTR393224:CTR393244 DDN393224:DDN393244 DNJ393224:DNJ393244 DXF393224:DXF393244 EHB393224:EHB393244 EQX393224:EQX393244 FAT393224:FAT393244 FKP393224:FKP393244 FUL393224:FUL393244 GEH393224:GEH393244 GOD393224:GOD393244 GXZ393224:GXZ393244 HHV393224:HHV393244 HRR393224:HRR393244 IBN393224:IBN393244 ILJ393224:ILJ393244 IVF393224:IVF393244 JFB393224:JFB393244 JOX393224:JOX393244 JYT393224:JYT393244 KIP393224:KIP393244 KSL393224:KSL393244 LCH393224:LCH393244 LMD393224:LMD393244 LVZ393224:LVZ393244 MFV393224:MFV393244 MPR393224:MPR393244 MZN393224:MZN393244 NJJ393224:NJJ393244 NTF393224:NTF393244 ODB393224:ODB393244 OMX393224:OMX393244 OWT393224:OWT393244 PGP393224:PGP393244 PQL393224:PQL393244 QAH393224:QAH393244 QKD393224:QKD393244 QTZ393224:QTZ393244 RDV393224:RDV393244 RNR393224:RNR393244 RXN393224:RXN393244 SHJ393224:SHJ393244 SRF393224:SRF393244 TBB393224:TBB393244 TKX393224:TKX393244 TUT393224:TUT393244 UEP393224:UEP393244 UOL393224:UOL393244 UYH393224:UYH393244 VID393224:VID393244 VRZ393224:VRZ393244 WBV393224:WBV393244 WLR393224:WLR393244 WVN393224:WVN393244 F458760:F458780 JB458760:JB458780 SX458760:SX458780 ACT458760:ACT458780 AMP458760:AMP458780 AWL458760:AWL458780 BGH458760:BGH458780 BQD458760:BQD458780 BZZ458760:BZZ458780 CJV458760:CJV458780 CTR458760:CTR458780 DDN458760:DDN458780 DNJ458760:DNJ458780 DXF458760:DXF458780 EHB458760:EHB458780 EQX458760:EQX458780 FAT458760:FAT458780 FKP458760:FKP458780 FUL458760:FUL458780 GEH458760:GEH458780 GOD458760:GOD458780 GXZ458760:GXZ458780 HHV458760:HHV458780 HRR458760:HRR458780 IBN458760:IBN458780 ILJ458760:ILJ458780 IVF458760:IVF458780 JFB458760:JFB458780 JOX458760:JOX458780 JYT458760:JYT458780 KIP458760:KIP458780 KSL458760:KSL458780 LCH458760:LCH458780 LMD458760:LMD458780 LVZ458760:LVZ458780 MFV458760:MFV458780 MPR458760:MPR458780 MZN458760:MZN458780 NJJ458760:NJJ458780 NTF458760:NTF458780 ODB458760:ODB458780 OMX458760:OMX458780 OWT458760:OWT458780 PGP458760:PGP458780 PQL458760:PQL458780 QAH458760:QAH458780 QKD458760:QKD458780 QTZ458760:QTZ458780 RDV458760:RDV458780 RNR458760:RNR458780 RXN458760:RXN458780 SHJ458760:SHJ458780 SRF458760:SRF458780 TBB458760:TBB458780 TKX458760:TKX458780 TUT458760:TUT458780 UEP458760:UEP458780 UOL458760:UOL458780 UYH458760:UYH458780 VID458760:VID458780 VRZ458760:VRZ458780 WBV458760:WBV458780 WLR458760:WLR458780 WVN458760:WVN458780 F524296:F524316 JB524296:JB524316 SX524296:SX524316 ACT524296:ACT524316 AMP524296:AMP524316 AWL524296:AWL524316 BGH524296:BGH524316 BQD524296:BQD524316 BZZ524296:BZZ524316 CJV524296:CJV524316 CTR524296:CTR524316 DDN524296:DDN524316 DNJ524296:DNJ524316 DXF524296:DXF524316 EHB524296:EHB524316 EQX524296:EQX524316 FAT524296:FAT524316 FKP524296:FKP524316 FUL524296:FUL524316 GEH524296:GEH524316 GOD524296:GOD524316 GXZ524296:GXZ524316 HHV524296:HHV524316 HRR524296:HRR524316 IBN524296:IBN524316 ILJ524296:ILJ524316 IVF524296:IVF524316 JFB524296:JFB524316 JOX524296:JOX524316 JYT524296:JYT524316 KIP524296:KIP524316 KSL524296:KSL524316 LCH524296:LCH524316 LMD524296:LMD524316 LVZ524296:LVZ524316 MFV524296:MFV524316 MPR524296:MPR524316 MZN524296:MZN524316 NJJ524296:NJJ524316 NTF524296:NTF524316 ODB524296:ODB524316 OMX524296:OMX524316 OWT524296:OWT524316 PGP524296:PGP524316 PQL524296:PQL524316 QAH524296:QAH524316 QKD524296:QKD524316 QTZ524296:QTZ524316 RDV524296:RDV524316 RNR524296:RNR524316 RXN524296:RXN524316 SHJ524296:SHJ524316 SRF524296:SRF524316 TBB524296:TBB524316 TKX524296:TKX524316 TUT524296:TUT524316 UEP524296:UEP524316 UOL524296:UOL524316 UYH524296:UYH524316 VID524296:VID524316 VRZ524296:VRZ524316 WBV524296:WBV524316 WLR524296:WLR524316 WVN524296:WVN524316 F589832:F589852 JB589832:JB589852 SX589832:SX589852 ACT589832:ACT589852 AMP589832:AMP589852 AWL589832:AWL589852 BGH589832:BGH589852 BQD589832:BQD589852 BZZ589832:BZZ589852 CJV589832:CJV589852 CTR589832:CTR589852 DDN589832:DDN589852 DNJ589832:DNJ589852 DXF589832:DXF589852 EHB589832:EHB589852 EQX589832:EQX589852 FAT589832:FAT589852 FKP589832:FKP589852 FUL589832:FUL589852 GEH589832:GEH589852 GOD589832:GOD589852 GXZ589832:GXZ589852 HHV589832:HHV589852 HRR589832:HRR589852 IBN589832:IBN589852 ILJ589832:ILJ589852 IVF589832:IVF589852 JFB589832:JFB589852 JOX589832:JOX589852 JYT589832:JYT589852 KIP589832:KIP589852 KSL589832:KSL589852 LCH589832:LCH589852 LMD589832:LMD589852 LVZ589832:LVZ589852 MFV589832:MFV589852 MPR589832:MPR589852 MZN589832:MZN589852 NJJ589832:NJJ589852 NTF589832:NTF589852 ODB589832:ODB589852 OMX589832:OMX589852 OWT589832:OWT589852 PGP589832:PGP589852 PQL589832:PQL589852 QAH589832:QAH589852 QKD589832:QKD589852 QTZ589832:QTZ589852 RDV589832:RDV589852 RNR589832:RNR589852 RXN589832:RXN589852 SHJ589832:SHJ589852 SRF589832:SRF589852 TBB589832:TBB589852 TKX589832:TKX589852 TUT589832:TUT589852 UEP589832:UEP589852 UOL589832:UOL589852 UYH589832:UYH589852 VID589832:VID589852 VRZ589832:VRZ589852 WBV589832:WBV589852 WLR589832:WLR589852 WVN589832:WVN589852 F655368:F655388 JB655368:JB655388 SX655368:SX655388 ACT655368:ACT655388 AMP655368:AMP655388 AWL655368:AWL655388 BGH655368:BGH655388 BQD655368:BQD655388 BZZ655368:BZZ655388 CJV655368:CJV655388 CTR655368:CTR655388 DDN655368:DDN655388 DNJ655368:DNJ655388 DXF655368:DXF655388 EHB655368:EHB655388 EQX655368:EQX655388 FAT655368:FAT655388 FKP655368:FKP655388 FUL655368:FUL655388 GEH655368:GEH655388 GOD655368:GOD655388 GXZ655368:GXZ655388 HHV655368:HHV655388 HRR655368:HRR655388 IBN655368:IBN655388 ILJ655368:ILJ655388 IVF655368:IVF655388 JFB655368:JFB655388 JOX655368:JOX655388 JYT655368:JYT655388 KIP655368:KIP655388 KSL655368:KSL655388 LCH655368:LCH655388 LMD655368:LMD655388 LVZ655368:LVZ655388 MFV655368:MFV655388 MPR655368:MPR655388 MZN655368:MZN655388 NJJ655368:NJJ655388 NTF655368:NTF655388 ODB655368:ODB655388 OMX655368:OMX655388 OWT655368:OWT655388 PGP655368:PGP655388 PQL655368:PQL655388 QAH655368:QAH655388 QKD655368:QKD655388 QTZ655368:QTZ655388 RDV655368:RDV655388 RNR655368:RNR655388 RXN655368:RXN655388 SHJ655368:SHJ655388 SRF655368:SRF655388 TBB655368:TBB655388 TKX655368:TKX655388 TUT655368:TUT655388 UEP655368:UEP655388 UOL655368:UOL655388 UYH655368:UYH655388 VID655368:VID655388 VRZ655368:VRZ655388 WBV655368:WBV655388 WLR655368:WLR655388 WVN655368:WVN655388 F720904:F720924 JB720904:JB720924 SX720904:SX720924 ACT720904:ACT720924 AMP720904:AMP720924 AWL720904:AWL720924 BGH720904:BGH720924 BQD720904:BQD720924 BZZ720904:BZZ720924 CJV720904:CJV720924 CTR720904:CTR720924 DDN720904:DDN720924 DNJ720904:DNJ720924 DXF720904:DXF720924 EHB720904:EHB720924 EQX720904:EQX720924 FAT720904:FAT720924 FKP720904:FKP720924 FUL720904:FUL720924 GEH720904:GEH720924 GOD720904:GOD720924 GXZ720904:GXZ720924 HHV720904:HHV720924 HRR720904:HRR720924 IBN720904:IBN720924 ILJ720904:ILJ720924 IVF720904:IVF720924 JFB720904:JFB720924 JOX720904:JOX720924 JYT720904:JYT720924 KIP720904:KIP720924 KSL720904:KSL720924 LCH720904:LCH720924 LMD720904:LMD720924 LVZ720904:LVZ720924 MFV720904:MFV720924 MPR720904:MPR720924 MZN720904:MZN720924 NJJ720904:NJJ720924 NTF720904:NTF720924 ODB720904:ODB720924 OMX720904:OMX720924 OWT720904:OWT720924 PGP720904:PGP720924 PQL720904:PQL720924 QAH720904:QAH720924 QKD720904:QKD720924 QTZ720904:QTZ720924 RDV720904:RDV720924 RNR720904:RNR720924 RXN720904:RXN720924 SHJ720904:SHJ720924 SRF720904:SRF720924 TBB720904:TBB720924 TKX720904:TKX720924 TUT720904:TUT720924 UEP720904:UEP720924 UOL720904:UOL720924 UYH720904:UYH720924 VID720904:VID720924 VRZ720904:VRZ720924 WBV720904:WBV720924 WLR720904:WLR720924 WVN720904:WVN720924 F786440:F786460 JB786440:JB786460 SX786440:SX786460 ACT786440:ACT786460 AMP786440:AMP786460 AWL786440:AWL786460 BGH786440:BGH786460 BQD786440:BQD786460 BZZ786440:BZZ786460 CJV786440:CJV786460 CTR786440:CTR786460 DDN786440:DDN786460 DNJ786440:DNJ786460 DXF786440:DXF786460 EHB786440:EHB786460 EQX786440:EQX786460 FAT786440:FAT786460 FKP786440:FKP786460 FUL786440:FUL786460 GEH786440:GEH786460 GOD786440:GOD786460 GXZ786440:GXZ786460 HHV786440:HHV786460 HRR786440:HRR786460 IBN786440:IBN786460 ILJ786440:ILJ786460 IVF786440:IVF786460 JFB786440:JFB786460 JOX786440:JOX786460 JYT786440:JYT786460 KIP786440:KIP786460 KSL786440:KSL786460 LCH786440:LCH786460 LMD786440:LMD786460 LVZ786440:LVZ786460 MFV786440:MFV786460 MPR786440:MPR786460 MZN786440:MZN786460 NJJ786440:NJJ786460 NTF786440:NTF786460 ODB786440:ODB786460 OMX786440:OMX786460 OWT786440:OWT786460 PGP786440:PGP786460 PQL786440:PQL786460 QAH786440:QAH786460 QKD786440:QKD786460 QTZ786440:QTZ786460 RDV786440:RDV786460 RNR786440:RNR786460 RXN786440:RXN786460 SHJ786440:SHJ786460 SRF786440:SRF786460 TBB786440:TBB786460 TKX786440:TKX786460 TUT786440:TUT786460 UEP786440:UEP786460 UOL786440:UOL786460 UYH786440:UYH786460 VID786440:VID786460 VRZ786440:VRZ786460 WBV786440:WBV786460 WLR786440:WLR786460 WVN786440:WVN786460 F851976:F851996 JB851976:JB851996 SX851976:SX851996 ACT851976:ACT851996 AMP851976:AMP851996 AWL851976:AWL851996 BGH851976:BGH851996 BQD851976:BQD851996 BZZ851976:BZZ851996 CJV851976:CJV851996 CTR851976:CTR851996 DDN851976:DDN851996 DNJ851976:DNJ851996 DXF851976:DXF851996 EHB851976:EHB851996 EQX851976:EQX851996 FAT851976:FAT851996 FKP851976:FKP851996 FUL851976:FUL851996 GEH851976:GEH851996 GOD851976:GOD851996 GXZ851976:GXZ851996 HHV851976:HHV851996 HRR851976:HRR851996 IBN851976:IBN851996 ILJ851976:ILJ851996 IVF851976:IVF851996 JFB851976:JFB851996 JOX851976:JOX851996 JYT851976:JYT851996 KIP851976:KIP851996 KSL851976:KSL851996 LCH851976:LCH851996 LMD851976:LMD851996 LVZ851976:LVZ851996 MFV851976:MFV851996 MPR851976:MPR851996 MZN851976:MZN851996 NJJ851976:NJJ851996 NTF851976:NTF851996 ODB851976:ODB851996 OMX851976:OMX851996 OWT851976:OWT851996 PGP851976:PGP851996 PQL851976:PQL851996 QAH851976:QAH851996 QKD851976:QKD851996 QTZ851976:QTZ851996 RDV851976:RDV851996 RNR851976:RNR851996 RXN851976:RXN851996 SHJ851976:SHJ851996 SRF851976:SRF851996 TBB851976:TBB851996 TKX851976:TKX851996 TUT851976:TUT851996 UEP851976:UEP851996 UOL851976:UOL851996 UYH851976:UYH851996 VID851976:VID851996 VRZ851976:VRZ851996 WBV851976:WBV851996 WLR851976:WLR851996 WVN851976:WVN851996 F917512:F917532 JB917512:JB917532 SX917512:SX917532 ACT917512:ACT917532 AMP917512:AMP917532 AWL917512:AWL917532 BGH917512:BGH917532 BQD917512:BQD917532 BZZ917512:BZZ917532 CJV917512:CJV917532 CTR917512:CTR917532 DDN917512:DDN917532 DNJ917512:DNJ917532 DXF917512:DXF917532 EHB917512:EHB917532 EQX917512:EQX917532 FAT917512:FAT917532 FKP917512:FKP917532 FUL917512:FUL917532 GEH917512:GEH917532 GOD917512:GOD917532 GXZ917512:GXZ917532 HHV917512:HHV917532 HRR917512:HRR917532 IBN917512:IBN917532 ILJ917512:ILJ917532 IVF917512:IVF917532 JFB917512:JFB917532 JOX917512:JOX917532 JYT917512:JYT917532 KIP917512:KIP917532 KSL917512:KSL917532 LCH917512:LCH917532 LMD917512:LMD917532 LVZ917512:LVZ917532 MFV917512:MFV917532 MPR917512:MPR917532 MZN917512:MZN917532 NJJ917512:NJJ917532 NTF917512:NTF917532 ODB917512:ODB917532 OMX917512:OMX917532 OWT917512:OWT917532 PGP917512:PGP917532 PQL917512:PQL917532 QAH917512:QAH917532 QKD917512:QKD917532 QTZ917512:QTZ917532 RDV917512:RDV917532 RNR917512:RNR917532 RXN917512:RXN917532 SHJ917512:SHJ917532 SRF917512:SRF917532 TBB917512:TBB917532 TKX917512:TKX917532 TUT917512:TUT917532 UEP917512:UEP917532 UOL917512:UOL917532 UYH917512:UYH917532 VID917512:VID917532 VRZ917512:VRZ917532 WBV917512:WBV917532 WLR917512:WLR917532 WVN917512:WVN917532 F983048:F983068 JB983048:JB983068 SX983048:SX983068 ACT983048:ACT983068 AMP983048:AMP983068 AWL983048:AWL983068 BGH983048:BGH983068 BQD983048:BQD983068 BZZ983048:BZZ983068 CJV983048:CJV983068 CTR983048:CTR983068 DDN983048:DDN983068 DNJ983048:DNJ983068 DXF983048:DXF983068 EHB983048:EHB983068 EQX983048:EQX983068 FAT983048:FAT983068 FKP983048:FKP983068 FUL983048:FUL983068 GEH983048:GEH983068 GOD983048:GOD983068 GXZ983048:GXZ983068 HHV983048:HHV983068 HRR983048:HRR983068 IBN983048:IBN983068 ILJ983048:ILJ983068 IVF983048:IVF983068 JFB983048:JFB983068 JOX983048:JOX983068 JYT983048:JYT983068 KIP983048:KIP983068 KSL983048:KSL983068 LCH983048:LCH983068 LMD983048:LMD983068 LVZ983048:LVZ983068 MFV983048:MFV983068 MPR983048:MPR983068 MZN983048:MZN983068 NJJ983048:NJJ983068 NTF983048:NTF983068 ODB983048:ODB983068 OMX983048:OMX983068 OWT983048:OWT983068 PGP983048:PGP983068 PQL983048:PQL983068 QAH983048:QAH983068 QKD983048:QKD983068 QTZ983048:QTZ983068 RDV983048:RDV983068 RNR983048:RNR983068 RXN983048:RXN983068 SHJ983048:SHJ983068 SRF983048:SRF983068 TBB983048:TBB983068 TKX983048:TKX983068 TUT983048:TUT983068 UEP983048:UEP983068 UOL983048:UOL983068 UYH983048:UYH983068 VID983048:VID983068 VRZ983048:VRZ983068 WBV983048:WBV983068 WLR983048:WLR983068 WVN983048:WVN983068" xr:uid="{71C49E88-FDE7-42DC-B598-B4CA028AF39F}">
      <formula1>$H$48:$H$52</formula1>
    </dataValidation>
    <dataValidation type="list" allowBlank="1" showInputMessage="1" showErrorMessage="1" sqref="G8:G28 JC8:JC28 SY8:SY28 ACU8:ACU28 AMQ8:AMQ28 AWM8:AWM28 BGI8:BGI28 BQE8:BQE28 CAA8:CAA28 CJW8:CJW28 CTS8:CTS28 DDO8:DDO28 DNK8:DNK28 DXG8:DXG28 EHC8:EHC28 EQY8:EQY28 FAU8:FAU28 FKQ8:FKQ28 FUM8:FUM28 GEI8:GEI28 GOE8:GOE28 GYA8:GYA28 HHW8:HHW28 HRS8:HRS28 IBO8:IBO28 ILK8:ILK28 IVG8:IVG28 JFC8:JFC28 JOY8:JOY28 JYU8:JYU28 KIQ8:KIQ28 KSM8:KSM28 LCI8:LCI28 LME8:LME28 LWA8:LWA28 MFW8:MFW28 MPS8:MPS28 MZO8:MZO28 NJK8:NJK28 NTG8:NTG28 ODC8:ODC28 OMY8:OMY28 OWU8:OWU28 PGQ8:PGQ28 PQM8:PQM28 QAI8:QAI28 QKE8:QKE28 QUA8:QUA28 RDW8:RDW28 RNS8:RNS28 RXO8:RXO28 SHK8:SHK28 SRG8:SRG28 TBC8:TBC28 TKY8:TKY28 TUU8:TUU28 UEQ8:UEQ28 UOM8:UOM28 UYI8:UYI28 VIE8:VIE28 VSA8:VSA28 WBW8:WBW28 WLS8:WLS28 WVO8:WVO28 G65544:G65564 JC65544:JC65564 SY65544:SY65564 ACU65544:ACU65564 AMQ65544:AMQ65564 AWM65544:AWM65564 BGI65544:BGI65564 BQE65544:BQE65564 CAA65544:CAA65564 CJW65544:CJW65564 CTS65544:CTS65564 DDO65544:DDO65564 DNK65544:DNK65564 DXG65544:DXG65564 EHC65544:EHC65564 EQY65544:EQY65564 FAU65544:FAU65564 FKQ65544:FKQ65564 FUM65544:FUM65564 GEI65544:GEI65564 GOE65544:GOE65564 GYA65544:GYA65564 HHW65544:HHW65564 HRS65544:HRS65564 IBO65544:IBO65564 ILK65544:ILK65564 IVG65544:IVG65564 JFC65544:JFC65564 JOY65544:JOY65564 JYU65544:JYU65564 KIQ65544:KIQ65564 KSM65544:KSM65564 LCI65544:LCI65564 LME65544:LME65564 LWA65544:LWA65564 MFW65544:MFW65564 MPS65544:MPS65564 MZO65544:MZO65564 NJK65544:NJK65564 NTG65544:NTG65564 ODC65544:ODC65564 OMY65544:OMY65564 OWU65544:OWU65564 PGQ65544:PGQ65564 PQM65544:PQM65564 QAI65544:QAI65564 QKE65544:QKE65564 QUA65544:QUA65564 RDW65544:RDW65564 RNS65544:RNS65564 RXO65544:RXO65564 SHK65544:SHK65564 SRG65544:SRG65564 TBC65544:TBC65564 TKY65544:TKY65564 TUU65544:TUU65564 UEQ65544:UEQ65564 UOM65544:UOM65564 UYI65544:UYI65564 VIE65544:VIE65564 VSA65544:VSA65564 WBW65544:WBW65564 WLS65544:WLS65564 WVO65544:WVO65564 G131080:G131100 JC131080:JC131100 SY131080:SY131100 ACU131080:ACU131100 AMQ131080:AMQ131100 AWM131080:AWM131100 BGI131080:BGI131100 BQE131080:BQE131100 CAA131080:CAA131100 CJW131080:CJW131100 CTS131080:CTS131100 DDO131080:DDO131100 DNK131080:DNK131100 DXG131080:DXG131100 EHC131080:EHC131100 EQY131080:EQY131100 FAU131080:FAU131100 FKQ131080:FKQ131100 FUM131080:FUM131100 GEI131080:GEI131100 GOE131080:GOE131100 GYA131080:GYA131100 HHW131080:HHW131100 HRS131080:HRS131100 IBO131080:IBO131100 ILK131080:ILK131100 IVG131080:IVG131100 JFC131080:JFC131100 JOY131080:JOY131100 JYU131080:JYU131100 KIQ131080:KIQ131100 KSM131080:KSM131100 LCI131080:LCI131100 LME131080:LME131100 LWA131080:LWA131100 MFW131080:MFW131100 MPS131080:MPS131100 MZO131080:MZO131100 NJK131080:NJK131100 NTG131080:NTG131100 ODC131080:ODC131100 OMY131080:OMY131100 OWU131080:OWU131100 PGQ131080:PGQ131100 PQM131080:PQM131100 QAI131080:QAI131100 QKE131080:QKE131100 QUA131080:QUA131100 RDW131080:RDW131100 RNS131080:RNS131100 RXO131080:RXO131100 SHK131080:SHK131100 SRG131080:SRG131100 TBC131080:TBC131100 TKY131080:TKY131100 TUU131080:TUU131100 UEQ131080:UEQ131100 UOM131080:UOM131100 UYI131080:UYI131100 VIE131080:VIE131100 VSA131080:VSA131100 WBW131080:WBW131100 WLS131080:WLS131100 WVO131080:WVO131100 G196616:G196636 JC196616:JC196636 SY196616:SY196636 ACU196616:ACU196636 AMQ196616:AMQ196636 AWM196616:AWM196636 BGI196616:BGI196636 BQE196616:BQE196636 CAA196616:CAA196636 CJW196616:CJW196636 CTS196616:CTS196636 DDO196616:DDO196636 DNK196616:DNK196636 DXG196616:DXG196636 EHC196616:EHC196636 EQY196616:EQY196636 FAU196616:FAU196636 FKQ196616:FKQ196636 FUM196616:FUM196636 GEI196616:GEI196636 GOE196616:GOE196636 GYA196616:GYA196636 HHW196616:HHW196636 HRS196616:HRS196636 IBO196616:IBO196636 ILK196616:ILK196636 IVG196616:IVG196636 JFC196616:JFC196636 JOY196616:JOY196636 JYU196616:JYU196636 KIQ196616:KIQ196636 KSM196616:KSM196636 LCI196616:LCI196636 LME196616:LME196636 LWA196616:LWA196636 MFW196616:MFW196636 MPS196616:MPS196636 MZO196616:MZO196636 NJK196616:NJK196636 NTG196616:NTG196636 ODC196616:ODC196636 OMY196616:OMY196636 OWU196616:OWU196636 PGQ196616:PGQ196636 PQM196616:PQM196636 QAI196616:QAI196636 QKE196616:QKE196636 QUA196616:QUA196636 RDW196616:RDW196636 RNS196616:RNS196636 RXO196616:RXO196636 SHK196616:SHK196636 SRG196616:SRG196636 TBC196616:TBC196636 TKY196616:TKY196636 TUU196616:TUU196636 UEQ196616:UEQ196636 UOM196616:UOM196636 UYI196616:UYI196636 VIE196616:VIE196636 VSA196616:VSA196636 WBW196616:WBW196636 WLS196616:WLS196636 WVO196616:WVO196636 G262152:G262172 JC262152:JC262172 SY262152:SY262172 ACU262152:ACU262172 AMQ262152:AMQ262172 AWM262152:AWM262172 BGI262152:BGI262172 BQE262152:BQE262172 CAA262152:CAA262172 CJW262152:CJW262172 CTS262152:CTS262172 DDO262152:DDO262172 DNK262152:DNK262172 DXG262152:DXG262172 EHC262152:EHC262172 EQY262152:EQY262172 FAU262152:FAU262172 FKQ262152:FKQ262172 FUM262152:FUM262172 GEI262152:GEI262172 GOE262152:GOE262172 GYA262152:GYA262172 HHW262152:HHW262172 HRS262152:HRS262172 IBO262152:IBO262172 ILK262152:ILK262172 IVG262152:IVG262172 JFC262152:JFC262172 JOY262152:JOY262172 JYU262152:JYU262172 KIQ262152:KIQ262172 KSM262152:KSM262172 LCI262152:LCI262172 LME262152:LME262172 LWA262152:LWA262172 MFW262152:MFW262172 MPS262152:MPS262172 MZO262152:MZO262172 NJK262152:NJK262172 NTG262152:NTG262172 ODC262152:ODC262172 OMY262152:OMY262172 OWU262152:OWU262172 PGQ262152:PGQ262172 PQM262152:PQM262172 QAI262152:QAI262172 QKE262152:QKE262172 QUA262152:QUA262172 RDW262152:RDW262172 RNS262152:RNS262172 RXO262152:RXO262172 SHK262152:SHK262172 SRG262152:SRG262172 TBC262152:TBC262172 TKY262152:TKY262172 TUU262152:TUU262172 UEQ262152:UEQ262172 UOM262152:UOM262172 UYI262152:UYI262172 VIE262152:VIE262172 VSA262152:VSA262172 WBW262152:WBW262172 WLS262152:WLS262172 WVO262152:WVO262172 G327688:G327708 JC327688:JC327708 SY327688:SY327708 ACU327688:ACU327708 AMQ327688:AMQ327708 AWM327688:AWM327708 BGI327688:BGI327708 BQE327688:BQE327708 CAA327688:CAA327708 CJW327688:CJW327708 CTS327688:CTS327708 DDO327688:DDO327708 DNK327688:DNK327708 DXG327688:DXG327708 EHC327688:EHC327708 EQY327688:EQY327708 FAU327688:FAU327708 FKQ327688:FKQ327708 FUM327688:FUM327708 GEI327688:GEI327708 GOE327688:GOE327708 GYA327688:GYA327708 HHW327688:HHW327708 HRS327688:HRS327708 IBO327688:IBO327708 ILK327688:ILK327708 IVG327688:IVG327708 JFC327688:JFC327708 JOY327688:JOY327708 JYU327688:JYU327708 KIQ327688:KIQ327708 KSM327688:KSM327708 LCI327688:LCI327708 LME327688:LME327708 LWA327688:LWA327708 MFW327688:MFW327708 MPS327688:MPS327708 MZO327688:MZO327708 NJK327688:NJK327708 NTG327688:NTG327708 ODC327688:ODC327708 OMY327688:OMY327708 OWU327688:OWU327708 PGQ327688:PGQ327708 PQM327688:PQM327708 QAI327688:QAI327708 QKE327688:QKE327708 QUA327688:QUA327708 RDW327688:RDW327708 RNS327688:RNS327708 RXO327688:RXO327708 SHK327688:SHK327708 SRG327688:SRG327708 TBC327688:TBC327708 TKY327688:TKY327708 TUU327688:TUU327708 UEQ327688:UEQ327708 UOM327688:UOM327708 UYI327688:UYI327708 VIE327688:VIE327708 VSA327688:VSA327708 WBW327688:WBW327708 WLS327688:WLS327708 WVO327688:WVO327708 G393224:G393244 JC393224:JC393244 SY393224:SY393244 ACU393224:ACU393244 AMQ393224:AMQ393244 AWM393224:AWM393244 BGI393224:BGI393244 BQE393224:BQE393244 CAA393224:CAA393244 CJW393224:CJW393244 CTS393224:CTS393244 DDO393224:DDO393244 DNK393224:DNK393244 DXG393224:DXG393244 EHC393224:EHC393244 EQY393224:EQY393244 FAU393224:FAU393244 FKQ393224:FKQ393244 FUM393224:FUM393244 GEI393224:GEI393244 GOE393224:GOE393244 GYA393224:GYA393244 HHW393224:HHW393244 HRS393224:HRS393244 IBO393224:IBO393244 ILK393224:ILK393244 IVG393224:IVG393244 JFC393224:JFC393244 JOY393224:JOY393244 JYU393224:JYU393244 KIQ393224:KIQ393244 KSM393224:KSM393244 LCI393224:LCI393244 LME393224:LME393244 LWA393224:LWA393244 MFW393224:MFW393244 MPS393224:MPS393244 MZO393224:MZO393244 NJK393224:NJK393244 NTG393224:NTG393244 ODC393224:ODC393244 OMY393224:OMY393244 OWU393224:OWU393244 PGQ393224:PGQ393244 PQM393224:PQM393244 QAI393224:QAI393244 QKE393224:QKE393244 QUA393224:QUA393244 RDW393224:RDW393244 RNS393224:RNS393244 RXO393224:RXO393244 SHK393224:SHK393244 SRG393224:SRG393244 TBC393224:TBC393244 TKY393224:TKY393244 TUU393224:TUU393244 UEQ393224:UEQ393244 UOM393224:UOM393244 UYI393224:UYI393244 VIE393224:VIE393244 VSA393224:VSA393244 WBW393224:WBW393244 WLS393224:WLS393244 WVO393224:WVO393244 G458760:G458780 JC458760:JC458780 SY458760:SY458780 ACU458760:ACU458780 AMQ458760:AMQ458780 AWM458760:AWM458780 BGI458760:BGI458780 BQE458760:BQE458780 CAA458760:CAA458780 CJW458760:CJW458780 CTS458760:CTS458780 DDO458760:DDO458780 DNK458760:DNK458780 DXG458760:DXG458780 EHC458760:EHC458780 EQY458760:EQY458780 FAU458760:FAU458780 FKQ458760:FKQ458780 FUM458760:FUM458780 GEI458760:GEI458780 GOE458760:GOE458780 GYA458760:GYA458780 HHW458760:HHW458780 HRS458760:HRS458780 IBO458760:IBO458780 ILK458760:ILK458780 IVG458760:IVG458780 JFC458760:JFC458780 JOY458760:JOY458780 JYU458760:JYU458780 KIQ458760:KIQ458780 KSM458760:KSM458780 LCI458760:LCI458780 LME458760:LME458780 LWA458760:LWA458780 MFW458760:MFW458780 MPS458760:MPS458780 MZO458760:MZO458780 NJK458760:NJK458780 NTG458760:NTG458780 ODC458760:ODC458780 OMY458760:OMY458780 OWU458760:OWU458780 PGQ458760:PGQ458780 PQM458760:PQM458780 QAI458760:QAI458780 QKE458760:QKE458780 QUA458760:QUA458780 RDW458760:RDW458780 RNS458760:RNS458780 RXO458760:RXO458780 SHK458760:SHK458780 SRG458760:SRG458780 TBC458760:TBC458780 TKY458760:TKY458780 TUU458760:TUU458780 UEQ458760:UEQ458780 UOM458760:UOM458780 UYI458760:UYI458780 VIE458760:VIE458780 VSA458760:VSA458780 WBW458760:WBW458780 WLS458760:WLS458780 WVO458760:WVO458780 G524296:G524316 JC524296:JC524316 SY524296:SY524316 ACU524296:ACU524316 AMQ524296:AMQ524316 AWM524296:AWM524316 BGI524296:BGI524316 BQE524296:BQE524316 CAA524296:CAA524316 CJW524296:CJW524316 CTS524296:CTS524316 DDO524296:DDO524316 DNK524296:DNK524316 DXG524296:DXG524316 EHC524296:EHC524316 EQY524296:EQY524316 FAU524296:FAU524316 FKQ524296:FKQ524316 FUM524296:FUM524316 GEI524296:GEI524316 GOE524296:GOE524316 GYA524296:GYA524316 HHW524296:HHW524316 HRS524296:HRS524316 IBO524296:IBO524316 ILK524296:ILK524316 IVG524296:IVG524316 JFC524296:JFC524316 JOY524296:JOY524316 JYU524296:JYU524316 KIQ524296:KIQ524316 KSM524296:KSM524316 LCI524296:LCI524316 LME524296:LME524316 LWA524296:LWA524316 MFW524296:MFW524316 MPS524296:MPS524316 MZO524296:MZO524316 NJK524296:NJK524316 NTG524296:NTG524316 ODC524296:ODC524316 OMY524296:OMY524316 OWU524296:OWU524316 PGQ524296:PGQ524316 PQM524296:PQM524316 QAI524296:QAI524316 QKE524296:QKE524316 QUA524296:QUA524316 RDW524296:RDW524316 RNS524296:RNS524316 RXO524296:RXO524316 SHK524296:SHK524316 SRG524296:SRG524316 TBC524296:TBC524316 TKY524296:TKY524316 TUU524296:TUU524316 UEQ524296:UEQ524316 UOM524296:UOM524316 UYI524296:UYI524316 VIE524296:VIE524316 VSA524296:VSA524316 WBW524296:WBW524316 WLS524296:WLS524316 WVO524296:WVO524316 G589832:G589852 JC589832:JC589852 SY589832:SY589852 ACU589832:ACU589852 AMQ589832:AMQ589852 AWM589832:AWM589852 BGI589832:BGI589852 BQE589832:BQE589852 CAA589832:CAA589852 CJW589832:CJW589852 CTS589832:CTS589852 DDO589832:DDO589852 DNK589832:DNK589852 DXG589832:DXG589852 EHC589832:EHC589852 EQY589832:EQY589852 FAU589832:FAU589852 FKQ589832:FKQ589852 FUM589832:FUM589852 GEI589832:GEI589852 GOE589832:GOE589852 GYA589832:GYA589852 HHW589832:HHW589852 HRS589832:HRS589852 IBO589832:IBO589852 ILK589832:ILK589852 IVG589832:IVG589852 JFC589832:JFC589852 JOY589832:JOY589852 JYU589832:JYU589852 KIQ589832:KIQ589852 KSM589832:KSM589852 LCI589832:LCI589852 LME589832:LME589852 LWA589832:LWA589852 MFW589832:MFW589852 MPS589832:MPS589852 MZO589832:MZO589852 NJK589832:NJK589852 NTG589832:NTG589852 ODC589832:ODC589852 OMY589832:OMY589852 OWU589832:OWU589852 PGQ589832:PGQ589852 PQM589832:PQM589852 QAI589832:QAI589852 QKE589832:QKE589852 QUA589832:QUA589852 RDW589832:RDW589852 RNS589832:RNS589852 RXO589832:RXO589852 SHK589832:SHK589852 SRG589832:SRG589852 TBC589832:TBC589852 TKY589832:TKY589852 TUU589832:TUU589852 UEQ589832:UEQ589852 UOM589832:UOM589852 UYI589832:UYI589852 VIE589832:VIE589852 VSA589832:VSA589852 WBW589832:WBW589852 WLS589832:WLS589852 WVO589832:WVO589852 G655368:G655388 JC655368:JC655388 SY655368:SY655388 ACU655368:ACU655388 AMQ655368:AMQ655388 AWM655368:AWM655388 BGI655368:BGI655388 BQE655368:BQE655388 CAA655368:CAA655388 CJW655368:CJW655388 CTS655368:CTS655388 DDO655368:DDO655388 DNK655368:DNK655388 DXG655368:DXG655388 EHC655368:EHC655388 EQY655368:EQY655388 FAU655368:FAU655388 FKQ655368:FKQ655388 FUM655368:FUM655388 GEI655368:GEI655388 GOE655368:GOE655388 GYA655368:GYA655388 HHW655368:HHW655388 HRS655368:HRS655388 IBO655368:IBO655388 ILK655368:ILK655388 IVG655368:IVG655388 JFC655368:JFC655388 JOY655368:JOY655388 JYU655368:JYU655388 KIQ655368:KIQ655388 KSM655368:KSM655388 LCI655368:LCI655388 LME655368:LME655388 LWA655368:LWA655388 MFW655368:MFW655388 MPS655368:MPS655388 MZO655368:MZO655388 NJK655368:NJK655388 NTG655368:NTG655388 ODC655368:ODC655388 OMY655368:OMY655388 OWU655368:OWU655388 PGQ655368:PGQ655388 PQM655368:PQM655388 QAI655368:QAI655388 QKE655368:QKE655388 QUA655368:QUA655388 RDW655368:RDW655388 RNS655368:RNS655388 RXO655368:RXO655388 SHK655368:SHK655388 SRG655368:SRG655388 TBC655368:TBC655388 TKY655368:TKY655388 TUU655368:TUU655388 UEQ655368:UEQ655388 UOM655368:UOM655388 UYI655368:UYI655388 VIE655368:VIE655388 VSA655368:VSA655388 WBW655368:WBW655388 WLS655368:WLS655388 WVO655368:WVO655388 G720904:G720924 JC720904:JC720924 SY720904:SY720924 ACU720904:ACU720924 AMQ720904:AMQ720924 AWM720904:AWM720924 BGI720904:BGI720924 BQE720904:BQE720924 CAA720904:CAA720924 CJW720904:CJW720924 CTS720904:CTS720924 DDO720904:DDO720924 DNK720904:DNK720924 DXG720904:DXG720924 EHC720904:EHC720924 EQY720904:EQY720924 FAU720904:FAU720924 FKQ720904:FKQ720924 FUM720904:FUM720924 GEI720904:GEI720924 GOE720904:GOE720924 GYA720904:GYA720924 HHW720904:HHW720924 HRS720904:HRS720924 IBO720904:IBO720924 ILK720904:ILK720924 IVG720904:IVG720924 JFC720904:JFC720924 JOY720904:JOY720924 JYU720904:JYU720924 KIQ720904:KIQ720924 KSM720904:KSM720924 LCI720904:LCI720924 LME720904:LME720924 LWA720904:LWA720924 MFW720904:MFW720924 MPS720904:MPS720924 MZO720904:MZO720924 NJK720904:NJK720924 NTG720904:NTG720924 ODC720904:ODC720924 OMY720904:OMY720924 OWU720904:OWU720924 PGQ720904:PGQ720924 PQM720904:PQM720924 QAI720904:QAI720924 QKE720904:QKE720924 QUA720904:QUA720924 RDW720904:RDW720924 RNS720904:RNS720924 RXO720904:RXO720924 SHK720904:SHK720924 SRG720904:SRG720924 TBC720904:TBC720924 TKY720904:TKY720924 TUU720904:TUU720924 UEQ720904:UEQ720924 UOM720904:UOM720924 UYI720904:UYI720924 VIE720904:VIE720924 VSA720904:VSA720924 WBW720904:WBW720924 WLS720904:WLS720924 WVO720904:WVO720924 G786440:G786460 JC786440:JC786460 SY786440:SY786460 ACU786440:ACU786460 AMQ786440:AMQ786460 AWM786440:AWM786460 BGI786440:BGI786460 BQE786440:BQE786460 CAA786440:CAA786460 CJW786440:CJW786460 CTS786440:CTS786460 DDO786440:DDO786460 DNK786440:DNK786460 DXG786440:DXG786460 EHC786440:EHC786460 EQY786440:EQY786460 FAU786440:FAU786460 FKQ786440:FKQ786460 FUM786440:FUM786460 GEI786440:GEI786460 GOE786440:GOE786460 GYA786440:GYA786460 HHW786440:HHW786460 HRS786440:HRS786460 IBO786440:IBO786460 ILK786440:ILK786460 IVG786440:IVG786460 JFC786440:JFC786460 JOY786440:JOY786460 JYU786440:JYU786460 KIQ786440:KIQ786460 KSM786440:KSM786460 LCI786440:LCI786460 LME786440:LME786460 LWA786440:LWA786460 MFW786440:MFW786460 MPS786440:MPS786460 MZO786440:MZO786460 NJK786440:NJK786460 NTG786440:NTG786460 ODC786440:ODC786460 OMY786440:OMY786460 OWU786440:OWU786460 PGQ786440:PGQ786460 PQM786440:PQM786460 QAI786440:QAI786460 QKE786440:QKE786460 QUA786440:QUA786460 RDW786440:RDW786460 RNS786440:RNS786460 RXO786440:RXO786460 SHK786440:SHK786460 SRG786440:SRG786460 TBC786440:TBC786460 TKY786440:TKY786460 TUU786440:TUU786460 UEQ786440:UEQ786460 UOM786440:UOM786460 UYI786440:UYI786460 VIE786440:VIE786460 VSA786440:VSA786460 WBW786440:WBW786460 WLS786440:WLS786460 WVO786440:WVO786460 G851976:G851996 JC851976:JC851996 SY851976:SY851996 ACU851976:ACU851996 AMQ851976:AMQ851996 AWM851976:AWM851996 BGI851976:BGI851996 BQE851976:BQE851996 CAA851976:CAA851996 CJW851976:CJW851996 CTS851976:CTS851996 DDO851976:DDO851996 DNK851976:DNK851996 DXG851976:DXG851996 EHC851976:EHC851996 EQY851976:EQY851996 FAU851976:FAU851996 FKQ851976:FKQ851996 FUM851976:FUM851996 GEI851976:GEI851996 GOE851976:GOE851996 GYA851976:GYA851996 HHW851976:HHW851996 HRS851976:HRS851996 IBO851976:IBO851996 ILK851976:ILK851996 IVG851976:IVG851996 JFC851976:JFC851996 JOY851976:JOY851996 JYU851976:JYU851996 KIQ851976:KIQ851996 KSM851976:KSM851996 LCI851976:LCI851996 LME851976:LME851996 LWA851976:LWA851996 MFW851976:MFW851996 MPS851976:MPS851996 MZO851976:MZO851996 NJK851976:NJK851996 NTG851976:NTG851996 ODC851976:ODC851996 OMY851976:OMY851996 OWU851976:OWU851996 PGQ851976:PGQ851996 PQM851976:PQM851996 QAI851976:QAI851996 QKE851976:QKE851996 QUA851976:QUA851996 RDW851976:RDW851996 RNS851976:RNS851996 RXO851976:RXO851996 SHK851976:SHK851996 SRG851976:SRG851996 TBC851976:TBC851996 TKY851976:TKY851996 TUU851976:TUU851996 UEQ851976:UEQ851996 UOM851976:UOM851996 UYI851976:UYI851996 VIE851976:VIE851996 VSA851976:VSA851996 WBW851976:WBW851996 WLS851976:WLS851996 WVO851976:WVO851996 G917512:G917532 JC917512:JC917532 SY917512:SY917532 ACU917512:ACU917532 AMQ917512:AMQ917532 AWM917512:AWM917532 BGI917512:BGI917532 BQE917512:BQE917532 CAA917512:CAA917532 CJW917512:CJW917532 CTS917512:CTS917532 DDO917512:DDO917532 DNK917512:DNK917532 DXG917512:DXG917532 EHC917512:EHC917532 EQY917512:EQY917532 FAU917512:FAU917532 FKQ917512:FKQ917532 FUM917512:FUM917532 GEI917512:GEI917532 GOE917512:GOE917532 GYA917512:GYA917532 HHW917512:HHW917532 HRS917512:HRS917532 IBO917512:IBO917532 ILK917512:ILK917532 IVG917512:IVG917532 JFC917512:JFC917532 JOY917512:JOY917532 JYU917512:JYU917532 KIQ917512:KIQ917532 KSM917512:KSM917532 LCI917512:LCI917532 LME917512:LME917532 LWA917512:LWA917532 MFW917512:MFW917532 MPS917512:MPS917532 MZO917512:MZO917532 NJK917512:NJK917532 NTG917512:NTG917532 ODC917512:ODC917532 OMY917512:OMY917532 OWU917512:OWU917532 PGQ917512:PGQ917532 PQM917512:PQM917532 QAI917512:QAI917532 QKE917512:QKE917532 QUA917512:QUA917532 RDW917512:RDW917532 RNS917512:RNS917532 RXO917512:RXO917532 SHK917512:SHK917532 SRG917512:SRG917532 TBC917512:TBC917532 TKY917512:TKY917532 TUU917512:TUU917532 UEQ917512:UEQ917532 UOM917512:UOM917532 UYI917512:UYI917532 VIE917512:VIE917532 VSA917512:VSA917532 WBW917512:WBW917532 WLS917512:WLS917532 WVO917512:WVO917532 G983048:G983068 JC983048:JC983068 SY983048:SY983068 ACU983048:ACU983068 AMQ983048:AMQ983068 AWM983048:AWM983068 BGI983048:BGI983068 BQE983048:BQE983068 CAA983048:CAA983068 CJW983048:CJW983068 CTS983048:CTS983068 DDO983048:DDO983068 DNK983048:DNK983068 DXG983048:DXG983068 EHC983048:EHC983068 EQY983048:EQY983068 FAU983048:FAU983068 FKQ983048:FKQ983068 FUM983048:FUM983068 GEI983048:GEI983068 GOE983048:GOE983068 GYA983048:GYA983068 HHW983048:HHW983068 HRS983048:HRS983068 IBO983048:IBO983068 ILK983048:ILK983068 IVG983048:IVG983068 JFC983048:JFC983068 JOY983048:JOY983068 JYU983048:JYU983068 KIQ983048:KIQ983068 KSM983048:KSM983068 LCI983048:LCI983068 LME983048:LME983068 LWA983048:LWA983068 MFW983048:MFW983068 MPS983048:MPS983068 MZO983048:MZO983068 NJK983048:NJK983068 NTG983048:NTG983068 ODC983048:ODC983068 OMY983048:OMY983068 OWU983048:OWU983068 PGQ983048:PGQ983068 PQM983048:PQM983068 QAI983048:QAI983068 QKE983048:QKE983068 QUA983048:QUA983068 RDW983048:RDW983068 RNS983048:RNS983068 RXO983048:RXO983068 SHK983048:SHK983068 SRG983048:SRG983068 TBC983048:TBC983068 TKY983048:TKY983068 TUU983048:TUU983068 UEQ983048:UEQ983068 UOM983048:UOM983068 UYI983048:UYI983068 VIE983048:VIE983068 VSA983048:VSA983068 WBW983048:WBW983068 WLS983048:WLS983068 WVO983048:WVO983068" xr:uid="{EEBA70E6-5AD9-4429-8EA2-F93B0AB87679}">
      <formula1>$F$48:$F$52</formula1>
    </dataValidation>
    <dataValidation type="list" allowBlank="1" showInputMessage="1" showErrorMessage="1" sqref="H8:H28 JD8:JD28 SZ8:SZ28 ACV8:ACV28 AMR8:AMR28 AWN8:AWN28 BGJ8:BGJ28 BQF8:BQF28 CAB8:CAB28 CJX8:CJX28 CTT8:CTT28 DDP8:DDP28 DNL8:DNL28 DXH8:DXH28 EHD8:EHD28 EQZ8:EQZ28 FAV8:FAV28 FKR8:FKR28 FUN8:FUN28 GEJ8:GEJ28 GOF8:GOF28 GYB8:GYB28 HHX8:HHX28 HRT8:HRT28 IBP8:IBP28 ILL8:ILL28 IVH8:IVH28 JFD8:JFD28 JOZ8:JOZ28 JYV8:JYV28 KIR8:KIR28 KSN8:KSN28 LCJ8:LCJ28 LMF8:LMF28 LWB8:LWB28 MFX8:MFX28 MPT8:MPT28 MZP8:MZP28 NJL8:NJL28 NTH8:NTH28 ODD8:ODD28 OMZ8:OMZ28 OWV8:OWV28 PGR8:PGR28 PQN8:PQN28 QAJ8:QAJ28 QKF8:QKF28 QUB8:QUB28 RDX8:RDX28 RNT8:RNT28 RXP8:RXP28 SHL8:SHL28 SRH8:SRH28 TBD8:TBD28 TKZ8:TKZ28 TUV8:TUV28 UER8:UER28 UON8:UON28 UYJ8:UYJ28 VIF8:VIF28 VSB8:VSB28 WBX8:WBX28 WLT8:WLT28 WVP8:WVP28 H65544:H65564 JD65544:JD65564 SZ65544:SZ65564 ACV65544:ACV65564 AMR65544:AMR65564 AWN65544:AWN65564 BGJ65544:BGJ65564 BQF65544:BQF65564 CAB65544:CAB65564 CJX65544:CJX65564 CTT65544:CTT65564 DDP65544:DDP65564 DNL65544:DNL65564 DXH65544:DXH65564 EHD65544:EHD65564 EQZ65544:EQZ65564 FAV65544:FAV65564 FKR65544:FKR65564 FUN65544:FUN65564 GEJ65544:GEJ65564 GOF65544:GOF65564 GYB65544:GYB65564 HHX65544:HHX65564 HRT65544:HRT65564 IBP65544:IBP65564 ILL65544:ILL65564 IVH65544:IVH65564 JFD65544:JFD65564 JOZ65544:JOZ65564 JYV65544:JYV65564 KIR65544:KIR65564 KSN65544:KSN65564 LCJ65544:LCJ65564 LMF65544:LMF65564 LWB65544:LWB65564 MFX65544:MFX65564 MPT65544:MPT65564 MZP65544:MZP65564 NJL65544:NJL65564 NTH65544:NTH65564 ODD65544:ODD65564 OMZ65544:OMZ65564 OWV65544:OWV65564 PGR65544:PGR65564 PQN65544:PQN65564 QAJ65544:QAJ65564 QKF65544:QKF65564 QUB65544:QUB65564 RDX65544:RDX65564 RNT65544:RNT65564 RXP65544:RXP65564 SHL65544:SHL65564 SRH65544:SRH65564 TBD65544:TBD65564 TKZ65544:TKZ65564 TUV65544:TUV65564 UER65544:UER65564 UON65544:UON65564 UYJ65544:UYJ65564 VIF65544:VIF65564 VSB65544:VSB65564 WBX65544:WBX65564 WLT65544:WLT65564 WVP65544:WVP65564 H131080:H131100 JD131080:JD131100 SZ131080:SZ131100 ACV131080:ACV131100 AMR131080:AMR131100 AWN131080:AWN131100 BGJ131080:BGJ131100 BQF131080:BQF131100 CAB131080:CAB131100 CJX131080:CJX131100 CTT131080:CTT131100 DDP131080:DDP131100 DNL131080:DNL131100 DXH131080:DXH131100 EHD131080:EHD131100 EQZ131080:EQZ131100 FAV131080:FAV131100 FKR131080:FKR131100 FUN131080:FUN131100 GEJ131080:GEJ131100 GOF131080:GOF131100 GYB131080:GYB131100 HHX131080:HHX131100 HRT131080:HRT131100 IBP131080:IBP131100 ILL131080:ILL131100 IVH131080:IVH131100 JFD131080:JFD131100 JOZ131080:JOZ131100 JYV131080:JYV131100 KIR131080:KIR131100 KSN131080:KSN131100 LCJ131080:LCJ131100 LMF131080:LMF131100 LWB131080:LWB131100 MFX131080:MFX131100 MPT131080:MPT131100 MZP131080:MZP131100 NJL131080:NJL131100 NTH131080:NTH131100 ODD131080:ODD131100 OMZ131080:OMZ131100 OWV131080:OWV131100 PGR131080:PGR131100 PQN131080:PQN131100 QAJ131080:QAJ131100 QKF131080:QKF131100 QUB131080:QUB131100 RDX131080:RDX131100 RNT131080:RNT131100 RXP131080:RXP131100 SHL131080:SHL131100 SRH131080:SRH131100 TBD131080:TBD131100 TKZ131080:TKZ131100 TUV131080:TUV131100 UER131080:UER131100 UON131080:UON131100 UYJ131080:UYJ131100 VIF131080:VIF131100 VSB131080:VSB131100 WBX131080:WBX131100 WLT131080:WLT131100 WVP131080:WVP131100 H196616:H196636 JD196616:JD196636 SZ196616:SZ196636 ACV196616:ACV196636 AMR196616:AMR196636 AWN196616:AWN196636 BGJ196616:BGJ196636 BQF196616:BQF196636 CAB196616:CAB196636 CJX196616:CJX196636 CTT196616:CTT196636 DDP196616:DDP196636 DNL196616:DNL196636 DXH196616:DXH196636 EHD196616:EHD196636 EQZ196616:EQZ196636 FAV196616:FAV196636 FKR196616:FKR196636 FUN196616:FUN196636 GEJ196616:GEJ196636 GOF196616:GOF196636 GYB196616:GYB196636 HHX196616:HHX196636 HRT196616:HRT196636 IBP196616:IBP196636 ILL196616:ILL196636 IVH196616:IVH196636 JFD196616:JFD196636 JOZ196616:JOZ196636 JYV196616:JYV196636 KIR196616:KIR196636 KSN196616:KSN196636 LCJ196616:LCJ196636 LMF196616:LMF196636 LWB196616:LWB196636 MFX196616:MFX196636 MPT196616:MPT196636 MZP196616:MZP196636 NJL196616:NJL196636 NTH196616:NTH196636 ODD196616:ODD196636 OMZ196616:OMZ196636 OWV196616:OWV196636 PGR196616:PGR196636 PQN196616:PQN196636 QAJ196616:QAJ196636 QKF196616:QKF196636 QUB196616:QUB196636 RDX196616:RDX196636 RNT196616:RNT196636 RXP196616:RXP196636 SHL196616:SHL196636 SRH196616:SRH196636 TBD196616:TBD196636 TKZ196616:TKZ196636 TUV196616:TUV196636 UER196616:UER196636 UON196616:UON196636 UYJ196616:UYJ196636 VIF196616:VIF196636 VSB196616:VSB196636 WBX196616:WBX196636 WLT196616:WLT196636 WVP196616:WVP196636 H262152:H262172 JD262152:JD262172 SZ262152:SZ262172 ACV262152:ACV262172 AMR262152:AMR262172 AWN262152:AWN262172 BGJ262152:BGJ262172 BQF262152:BQF262172 CAB262152:CAB262172 CJX262152:CJX262172 CTT262152:CTT262172 DDP262152:DDP262172 DNL262152:DNL262172 DXH262152:DXH262172 EHD262152:EHD262172 EQZ262152:EQZ262172 FAV262152:FAV262172 FKR262152:FKR262172 FUN262152:FUN262172 GEJ262152:GEJ262172 GOF262152:GOF262172 GYB262152:GYB262172 HHX262152:HHX262172 HRT262152:HRT262172 IBP262152:IBP262172 ILL262152:ILL262172 IVH262152:IVH262172 JFD262152:JFD262172 JOZ262152:JOZ262172 JYV262152:JYV262172 KIR262152:KIR262172 KSN262152:KSN262172 LCJ262152:LCJ262172 LMF262152:LMF262172 LWB262152:LWB262172 MFX262152:MFX262172 MPT262152:MPT262172 MZP262152:MZP262172 NJL262152:NJL262172 NTH262152:NTH262172 ODD262152:ODD262172 OMZ262152:OMZ262172 OWV262152:OWV262172 PGR262152:PGR262172 PQN262152:PQN262172 QAJ262152:QAJ262172 QKF262152:QKF262172 QUB262152:QUB262172 RDX262152:RDX262172 RNT262152:RNT262172 RXP262152:RXP262172 SHL262152:SHL262172 SRH262152:SRH262172 TBD262152:TBD262172 TKZ262152:TKZ262172 TUV262152:TUV262172 UER262152:UER262172 UON262152:UON262172 UYJ262152:UYJ262172 VIF262152:VIF262172 VSB262152:VSB262172 WBX262152:WBX262172 WLT262152:WLT262172 WVP262152:WVP262172 H327688:H327708 JD327688:JD327708 SZ327688:SZ327708 ACV327688:ACV327708 AMR327688:AMR327708 AWN327688:AWN327708 BGJ327688:BGJ327708 BQF327688:BQF327708 CAB327688:CAB327708 CJX327688:CJX327708 CTT327688:CTT327708 DDP327688:DDP327708 DNL327688:DNL327708 DXH327688:DXH327708 EHD327688:EHD327708 EQZ327688:EQZ327708 FAV327688:FAV327708 FKR327688:FKR327708 FUN327688:FUN327708 GEJ327688:GEJ327708 GOF327688:GOF327708 GYB327688:GYB327708 HHX327688:HHX327708 HRT327688:HRT327708 IBP327688:IBP327708 ILL327688:ILL327708 IVH327688:IVH327708 JFD327688:JFD327708 JOZ327688:JOZ327708 JYV327688:JYV327708 KIR327688:KIR327708 KSN327688:KSN327708 LCJ327688:LCJ327708 LMF327688:LMF327708 LWB327688:LWB327708 MFX327688:MFX327708 MPT327688:MPT327708 MZP327688:MZP327708 NJL327688:NJL327708 NTH327688:NTH327708 ODD327688:ODD327708 OMZ327688:OMZ327708 OWV327688:OWV327708 PGR327688:PGR327708 PQN327688:PQN327708 QAJ327688:QAJ327708 QKF327688:QKF327708 QUB327688:QUB327708 RDX327688:RDX327708 RNT327688:RNT327708 RXP327688:RXP327708 SHL327688:SHL327708 SRH327688:SRH327708 TBD327688:TBD327708 TKZ327688:TKZ327708 TUV327688:TUV327708 UER327688:UER327708 UON327688:UON327708 UYJ327688:UYJ327708 VIF327688:VIF327708 VSB327688:VSB327708 WBX327688:WBX327708 WLT327688:WLT327708 WVP327688:WVP327708 H393224:H393244 JD393224:JD393244 SZ393224:SZ393244 ACV393224:ACV393244 AMR393224:AMR393244 AWN393224:AWN393244 BGJ393224:BGJ393244 BQF393224:BQF393244 CAB393224:CAB393244 CJX393224:CJX393244 CTT393224:CTT393244 DDP393224:DDP393244 DNL393224:DNL393244 DXH393224:DXH393244 EHD393224:EHD393244 EQZ393224:EQZ393244 FAV393224:FAV393244 FKR393224:FKR393244 FUN393224:FUN393244 GEJ393224:GEJ393244 GOF393224:GOF393244 GYB393224:GYB393244 HHX393224:HHX393244 HRT393224:HRT393244 IBP393224:IBP393244 ILL393224:ILL393244 IVH393224:IVH393244 JFD393224:JFD393244 JOZ393224:JOZ393244 JYV393224:JYV393244 KIR393224:KIR393244 KSN393224:KSN393244 LCJ393224:LCJ393244 LMF393224:LMF393244 LWB393224:LWB393244 MFX393224:MFX393244 MPT393224:MPT393244 MZP393224:MZP393244 NJL393224:NJL393244 NTH393224:NTH393244 ODD393224:ODD393244 OMZ393224:OMZ393244 OWV393224:OWV393244 PGR393224:PGR393244 PQN393224:PQN393244 QAJ393224:QAJ393244 QKF393224:QKF393244 QUB393224:QUB393244 RDX393224:RDX393244 RNT393224:RNT393244 RXP393224:RXP393244 SHL393224:SHL393244 SRH393224:SRH393244 TBD393224:TBD393244 TKZ393224:TKZ393244 TUV393224:TUV393244 UER393224:UER393244 UON393224:UON393244 UYJ393224:UYJ393244 VIF393224:VIF393244 VSB393224:VSB393244 WBX393224:WBX393244 WLT393224:WLT393244 WVP393224:WVP393244 H458760:H458780 JD458760:JD458780 SZ458760:SZ458780 ACV458760:ACV458780 AMR458760:AMR458780 AWN458760:AWN458780 BGJ458760:BGJ458780 BQF458760:BQF458780 CAB458760:CAB458780 CJX458760:CJX458780 CTT458760:CTT458780 DDP458760:DDP458780 DNL458760:DNL458780 DXH458760:DXH458780 EHD458760:EHD458780 EQZ458760:EQZ458780 FAV458760:FAV458780 FKR458760:FKR458780 FUN458760:FUN458780 GEJ458760:GEJ458780 GOF458760:GOF458780 GYB458760:GYB458780 HHX458760:HHX458780 HRT458760:HRT458780 IBP458760:IBP458780 ILL458760:ILL458780 IVH458760:IVH458780 JFD458760:JFD458780 JOZ458760:JOZ458780 JYV458760:JYV458780 KIR458760:KIR458780 KSN458760:KSN458780 LCJ458760:LCJ458780 LMF458760:LMF458780 LWB458760:LWB458780 MFX458760:MFX458780 MPT458760:MPT458780 MZP458760:MZP458780 NJL458760:NJL458780 NTH458760:NTH458780 ODD458760:ODD458780 OMZ458760:OMZ458780 OWV458760:OWV458780 PGR458760:PGR458780 PQN458760:PQN458780 QAJ458760:QAJ458780 QKF458760:QKF458780 QUB458760:QUB458780 RDX458760:RDX458780 RNT458760:RNT458780 RXP458760:RXP458780 SHL458760:SHL458780 SRH458760:SRH458780 TBD458760:TBD458780 TKZ458760:TKZ458780 TUV458760:TUV458780 UER458760:UER458780 UON458760:UON458780 UYJ458760:UYJ458780 VIF458760:VIF458780 VSB458760:VSB458780 WBX458760:WBX458780 WLT458760:WLT458780 WVP458760:WVP458780 H524296:H524316 JD524296:JD524316 SZ524296:SZ524316 ACV524296:ACV524316 AMR524296:AMR524316 AWN524296:AWN524316 BGJ524296:BGJ524316 BQF524296:BQF524316 CAB524296:CAB524316 CJX524296:CJX524316 CTT524296:CTT524316 DDP524296:DDP524316 DNL524296:DNL524316 DXH524296:DXH524316 EHD524296:EHD524316 EQZ524296:EQZ524316 FAV524296:FAV524316 FKR524296:FKR524316 FUN524296:FUN524316 GEJ524296:GEJ524316 GOF524296:GOF524316 GYB524296:GYB524316 HHX524296:HHX524316 HRT524296:HRT524316 IBP524296:IBP524316 ILL524296:ILL524316 IVH524296:IVH524316 JFD524296:JFD524316 JOZ524296:JOZ524316 JYV524296:JYV524316 KIR524296:KIR524316 KSN524296:KSN524316 LCJ524296:LCJ524316 LMF524296:LMF524316 LWB524296:LWB524316 MFX524296:MFX524316 MPT524296:MPT524316 MZP524296:MZP524316 NJL524296:NJL524316 NTH524296:NTH524316 ODD524296:ODD524316 OMZ524296:OMZ524316 OWV524296:OWV524316 PGR524296:PGR524316 PQN524296:PQN524316 QAJ524296:QAJ524316 QKF524296:QKF524316 QUB524296:QUB524316 RDX524296:RDX524316 RNT524296:RNT524316 RXP524296:RXP524316 SHL524296:SHL524316 SRH524296:SRH524316 TBD524296:TBD524316 TKZ524296:TKZ524316 TUV524296:TUV524316 UER524296:UER524316 UON524296:UON524316 UYJ524296:UYJ524316 VIF524296:VIF524316 VSB524296:VSB524316 WBX524296:WBX524316 WLT524296:WLT524316 WVP524296:WVP524316 H589832:H589852 JD589832:JD589852 SZ589832:SZ589852 ACV589832:ACV589852 AMR589832:AMR589852 AWN589832:AWN589852 BGJ589832:BGJ589852 BQF589832:BQF589852 CAB589832:CAB589852 CJX589832:CJX589852 CTT589832:CTT589852 DDP589832:DDP589852 DNL589832:DNL589852 DXH589832:DXH589852 EHD589832:EHD589852 EQZ589832:EQZ589852 FAV589832:FAV589852 FKR589832:FKR589852 FUN589832:FUN589852 GEJ589832:GEJ589852 GOF589832:GOF589852 GYB589832:GYB589852 HHX589832:HHX589852 HRT589832:HRT589852 IBP589832:IBP589852 ILL589832:ILL589852 IVH589832:IVH589852 JFD589832:JFD589852 JOZ589832:JOZ589852 JYV589832:JYV589852 KIR589832:KIR589852 KSN589832:KSN589852 LCJ589832:LCJ589852 LMF589832:LMF589852 LWB589832:LWB589852 MFX589832:MFX589852 MPT589832:MPT589852 MZP589832:MZP589852 NJL589832:NJL589852 NTH589832:NTH589852 ODD589832:ODD589852 OMZ589832:OMZ589852 OWV589832:OWV589852 PGR589832:PGR589852 PQN589832:PQN589852 QAJ589832:QAJ589852 QKF589832:QKF589852 QUB589832:QUB589852 RDX589832:RDX589852 RNT589832:RNT589852 RXP589832:RXP589852 SHL589832:SHL589852 SRH589832:SRH589852 TBD589832:TBD589852 TKZ589832:TKZ589852 TUV589832:TUV589852 UER589832:UER589852 UON589832:UON589852 UYJ589832:UYJ589852 VIF589832:VIF589852 VSB589832:VSB589852 WBX589832:WBX589852 WLT589832:WLT589852 WVP589832:WVP589852 H655368:H655388 JD655368:JD655388 SZ655368:SZ655388 ACV655368:ACV655388 AMR655368:AMR655388 AWN655368:AWN655388 BGJ655368:BGJ655388 BQF655368:BQF655388 CAB655368:CAB655388 CJX655368:CJX655388 CTT655368:CTT655388 DDP655368:DDP655388 DNL655368:DNL655388 DXH655368:DXH655388 EHD655368:EHD655388 EQZ655368:EQZ655388 FAV655368:FAV655388 FKR655368:FKR655388 FUN655368:FUN655388 GEJ655368:GEJ655388 GOF655368:GOF655388 GYB655368:GYB655388 HHX655368:HHX655388 HRT655368:HRT655388 IBP655368:IBP655388 ILL655368:ILL655388 IVH655368:IVH655388 JFD655368:JFD655388 JOZ655368:JOZ655388 JYV655368:JYV655388 KIR655368:KIR655388 KSN655368:KSN655388 LCJ655368:LCJ655388 LMF655368:LMF655388 LWB655368:LWB655388 MFX655368:MFX655388 MPT655368:MPT655388 MZP655368:MZP655388 NJL655368:NJL655388 NTH655368:NTH655388 ODD655368:ODD655388 OMZ655368:OMZ655388 OWV655368:OWV655388 PGR655368:PGR655388 PQN655368:PQN655388 QAJ655368:QAJ655388 QKF655368:QKF655388 QUB655368:QUB655388 RDX655368:RDX655388 RNT655368:RNT655388 RXP655368:RXP655388 SHL655368:SHL655388 SRH655368:SRH655388 TBD655368:TBD655388 TKZ655368:TKZ655388 TUV655368:TUV655388 UER655368:UER655388 UON655368:UON655388 UYJ655368:UYJ655388 VIF655368:VIF655388 VSB655368:VSB655388 WBX655368:WBX655388 WLT655368:WLT655388 WVP655368:WVP655388 H720904:H720924 JD720904:JD720924 SZ720904:SZ720924 ACV720904:ACV720924 AMR720904:AMR720924 AWN720904:AWN720924 BGJ720904:BGJ720924 BQF720904:BQF720924 CAB720904:CAB720924 CJX720904:CJX720924 CTT720904:CTT720924 DDP720904:DDP720924 DNL720904:DNL720924 DXH720904:DXH720924 EHD720904:EHD720924 EQZ720904:EQZ720924 FAV720904:FAV720924 FKR720904:FKR720924 FUN720904:FUN720924 GEJ720904:GEJ720924 GOF720904:GOF720924 GYB720904:GYB720924 HHX720904:HHX720924 HRT720904:HRT720924 IBP720904:IBP720924 ILL720904:ILL720924 IVH720904:IVH720924 JFD720904:JFD720924 JOZ720904:JOZ720924 JYV720904:JYV720924 KIR720904:KIR720924 KSN720904:KSN720924 LCJ720904:LCJ720924 LMF720904:LMF720924 LWB720904:LWB720924 MFX720904:MFX720924 MPT720904:MPT720924 MZP720904:MZP720924 NJL720904:NJL720924 NTH720904:NTH720924 ODD720904:ODD720924 OMZ720904:OMZ720924 OWV720904:OWV720924 PGR720904:PGR720924 PQN720904:PQN720924 QAJ720904:QAJ720924 QKF720904:QKF720924 QUB720904:QUB720924 RDX720904:RDX720924 RNT720904:RNT720924 RXP720904:RXP720924 SHL720904:SHL720924 SRH720904:SRH720924 TBD720904:TBD720924 TKZ720904:TKZ720924 TUV720904:TUV720924 UER720904:UER720924 UON720904:UON720924 UYJ720904:UYJ720924 VIF720904:VIF720924 VSB720904:VSB720924 WBX720904:WBX720924 WLT720904:WLT720924 WVP720904:WVP720924 H786440:H786460 JD786440:JD786460 SZ786440:SZ786460 ACV786440:ACV786460 AMR786440:AMR786460 AWN786440:AWN786460 BGJ786440:BGJ786460 BQF786440:BQF786460 CAB786440:CAB786460 CJX786440:CJX786460 CTT786440:CTT786460 DDP786440:DDP786460 DNL786440:DNL786460 DXH786440:DXH786460 EHD786440:EHD786460 EQZ786440:EQZ786460 FAV786440:FAV786460 FKR786440:FKR786460 FUN786440:FUN786460 GEJ786440:GEJ786460 GOF786440:GOF786460 GYB786440:GYB786460 HHX786440:HHX786460 HRT786440:HRT786460 IBP786440:IBP786460 ILL786440:ILL786460 IVH786440:IVH786460 JFD786440:JFD786460 JOZ786440:JOZ786460 JYV786440:JYV786460 KIR786440:KIR786460 KSN786440:KSN786460 LCJ786440:LCJ786460 LMF786440:LMF786460 LWB786440:LWB786460 MFX786440:MFX786460 MPT786440:MPT786460 MZP786440:MZP786460 NJL786440:NJL786460 NTH786440:NTH786460 ODD786440:ODD786460 OMZ786440:OMZ786460 OWV786440:OWV786460 PGR786440:PGR786460 PQN786440:PQN786460 QAJ786440:QAJ786460 QKF786440:QKF786460 QUB786440:QUB786460 RDX786440:RDX786460 RNT786440:RNT786460 RXP786440:RXP786460 SHL786440:SHL786460 SRH786440:SRH786460 TBD786440:TBD786460 TKZ786440:TKZ786460 TUV786440:TUV786460 UER786440:UER786460 UON786440:UON786460 UYJ786440:UYJ786460 VIF786440:VIF786460 VSB786440:VSB786460 WBX786440:WBX786460 WLT786440:WLT786460 WVP786440:WVP786460 H851976:H851996 JD851976:JD851996 SZ851976:SZ851996 ACV851976:ACV851996 AMR851976:AMR851996 AWN851976:AWN851996 BGJ851976:BGJ851996 BQF851976:BQF851996 CAB851976:CAB851996 CJX851976:CJX851996 CTT851976:CTT851996 DDP851976:DDP851996 DNL851976:DNL851996 DXH851976:DXH851996 EHD851976:EHD851996 EQZ851976:EQZ851996 FAV851976:FAV851996 FKR851976:FKR851996 FUN851976:FUN851996 GEJ851976:GEJ851996 GOF851976:GOF851996 GYB851976:GYB851996 HHX851976:HHX851996 HRT851976:HRT851996 IBP851976:IBP851996 ILL851976:ILL851996 IVH851976:IVH851996 JFD851976:JFD851996 JOZ851976:JOZ851996 JYV851976:JYV851996 KIR851976:KIR851996 KSN851976:KSN851996 LCJ851976:LCJ851996 LMF851976:LMF851996 LWB851976:LWB851996 MFX851976:MFX851996 MPT851976:MPT851996 MZP851976:MZP851996 NJL851976:NJL851996 NTH851976:NTH851996 ODD851976:ODD851996 OMZ851976:OMZ851996 OWV851976:OWV851996 PGR851976:PGR851996 PQN851976:PQN851996 QAJ851976:QAJ851996 QKF851976:QKF851996 QUB851976:QUB851996 RDX851976:RDX851996 RNT851976:RNT851996 RXP851976:RXP851996 SHL851976:SHL851996 SRH851976:SRH851996 TBD851976:TBD851996 TKZ851976:TKZ851996 TUV851976:TUV851996 UER851976:UER851996 UON851976:UON851996 UYJ851976:UYJ851996 VIF851976:VIF851996 VSB851976:VSB851996 WBX851976:WBX851996 WLT851976:WLT851996 WVP851976:WVP851996 H917512:H917532 JD917512:JD917532 SZ917512:SZ917532 ACV917512:ACV917532 AMR917512:AMR917532 AWN917512:AWN917532 BGJ917512:BGJ917532 BQF917512:BQF917532 CAB917512:CAB917532 CJX917512:CJX917532 CTT917512:CTT917532 DDP917512:DDP917532 DNL917512:DNL917532 DXH917512:DXH917532 EHD917512:EHD917532 EQZ917512:EQZ917532 FAV917512:FAV917532 FKR917512:FKR917532 FUN917512:FUN917532 GEJ917512:GEJ917532 GOF917512:GOF917532 GYB917512:GYB917532 HHX917512:HHX917532 HRT917512:HRT917532 IBP917512:IBP917532 ILL917512:ILL917532 IVH917512:IVH917532 JFD917512:JFD917532 JOZ917512:JOZ917532 JYV917512:JYV917532 KIR917512:KIR917532 KSN917512:KSN917532 LCJ917512:LCJ917532 LMF917512:LMF917532 LWB917512:LWB917532 MFX917512:MFX917532 MPT917512:MPT917532 MZP917512:MZP917532 NJL917512:NJL917532 NTH917512:NTH917532 ODD917512:ODD917532 OMZ917512:OMZ917532 OWV917512:OWV917532 PGR917512:PGR917532 PQN917512:PQN917532 QAJ917512:QAJ917532 QKF917512:QKF917532 QUB917512:QUB917532 RDX917512:RDX917532 RNT917512:RNT917532 RXP917512:RXP917532 SHL917512:SHL917532 SRH917512:SRH917532 TBD917512:TBD917532 TKZ917512:TKZ917532 TUV917512:TUV917532 UER917512:UER917532 UON917512:UON917532 UYJ917512:UYJ917532 VIF917512:VIF917532 VSB917512:VSB917532 WBX917512:WBX917532 WLT917512:WLT917532 WVP917512:WVP917532 H983048:H983068 JD983048:JD983068 SZ983048:SZ983068 ACV983048:ACV983068 AMR983048:AMR983068 AWN983048:AWN983068 BGJ983048:BGJ983068 BQF983048:BQF983068 CAB983048:CAB983068 CJX983048:CJX983068 CTT983048:CTT983068 DDP983048:DDP983068 DNL983048:DNL983068 DXH983048:DXH983068 EHD983048:EHD983068 EQZ983048:EQZ983068 FAV983048:FAV983068 FKR983048:FKR983068 FUN983048:FUN983068 GEJ983048:GEJ983068 GOF983048:GOF983068 GYB983048:GYB983068 HHX983048:HHX983068 HRT983048:HRT983068 IBP983048:IBP983068 ILL983048:ILL983068 IVH983048:IVH983068 JFD983048:JFD983068 JOZ983048:JOZ983068 JYV983048:JYV983068 KIR983048:KIR983068 KSN983048:KSN983068 LCJ983048:LCJ983068 LMF983048:LMF983068 LWB983048:LWB983068 MFX983048:MFX983068 MPT983048:MPT983068 MZP983048:MZP983068 NJL983048:NJL983068 NTH983048:NTH983068 ODD983048:ODD983068 OMZ983048:OMZ983068 OWV983048:OWV983068 PGR983048:PGR983068 PQN983048:PQN983068 QAJ983048:QAJ983068 QKF983048:QKF983068 QUB983048:QUB983068 RDX983048:RDX983068 RNT983048:RNT983068 RXP983048:RXP983068 SHL983048:SHL983068 SRH983048:SRH983068 TBD983048:TBD983068 TKZ983048:TKZ983068 TUV983048:TUV983068 UER983048:UER983068 UON983048:UON983068 UYJ983048:UYJ983068 VIF983048:VIF983068 VSB983048:VSB983068 WBX983048:WBX983068 WLT983048:WLT983068 WVP983048:WVP983068" xr:uid="{1092B383-0A56-4581-87B5-1D88D31A1367}">
      <formula1>$G$48:$G$52</formula1>
    </dataValidation>
  </dataValidation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E0983-E6CA-4F2A-97B4-249F45EDB5D6}">
  <sheetPr codeName="Plan4">
    <pageSetUpPr fitToPage="1"/>
  </sheetPr>
  <dimension ref="A1:AF29"/>
  <sheetViews>
    <sheetView showGridLines="0" tabSelected="1" zoomScale="80" zoomScaleNormal="80" workbookViewId="0">
      <pane xSplit="5" ySplit="7" topLeftCell="F8" activePane="bottomRight" state="frozen"/>
      <selection pane="topRight" activeCell="G1" sqref="G1"/>
      <selection pane="bottomLeft" activeCell="A5" sqref="A5"/>
      <selection pane="bottomRight" activeCell="E8" sqref="E8"/>
    </sheetView>
  </sheetViews>
  <sheetFormatPr defaultRowHeight="11.25" x14ac:dyDescent="0.2"/>
  <cols>
    <col min="1" max="1" width="4.7109375" style="430" customWidth="1"/>
    <col min="2" max="2" width="30.85546875" style="430" customWidth="1"/>
    <col min="3" max="3" width="25" style="433" customWidth="1"/>
    <col min="4" max="4" width="32.7109375" style="430" customWidth="1"/>
    <col min="5" max="5" width="17.42578125" style="432" bestFit="1" customWidth="1"/>
    <col min="6" max="6" width="17.42578125" style="430" customWidth="1"/>
    <col min="7" max="8" width="23.5703125" style="431" customWidth="1"/>
    <col min="9" max="9" width="26.28515625" style="431" customWidth="1"/>
    <col min="10" max="11" width="24.28515625" style="430" customWidth="1"/>
    <col min="12" max="12" width="8.85546875" style="430" customWidth="1"/>
    <col min="13" max="13" width="10" style="430" customWidth="1"/>
    <col min="14" max="14" width="14.28515625" style="430" customWidth="1"/>
    <col min="15" max="16384" width="9.140625" style="430"/>
  </cols>
  <sheetData>
    <row r="1" spans="1:32" ht="13.5" thickBot="1" x14ac:dyDescent="0.25">
      <c r="A1" s="656" t="s">
        <v>750</v>
      </c>
      <c r="B1" s="657"/>
      <c r="C1" s="657"/>
      <c r="D1" s="683"/>
      <c r="AB1" s="675" t="s">
        <v>706</v>
      </c>
      <c r="AC1" s="676"/>
      <c r="AD1" s="49"/>
      <c r="AE1" s="667" t="s">
        <v>705</v>
      </c>
      <c r="AF1" s="668"/>
    </row>
    <row r="2" spans="1:32" ht="12.75" x14ac:dyDescent="0.2">
      <c r="A2" s="658"/>
      <c r="B2" s="659"/>
      <c r="C2" s="659"/>
      <c r="D2" s="684"/>
      <c r="AB2" s="469"/>
      <c r="AC2" s="468"/>
      <c r="AD2" s="49"/>
      <c r="AE2" s="467"/>
      <c r="AF2" s="466"/>
    </row>
    <row r="3" spans="1:32" ht="13.5" thickBot="1" x14ac:dyDescent="0.25">
      <c r="A3" s="660"/>
      <c r="B3" s="661"/>
      <c r="C3" s="661"/>
      <c r="D3" s="685"/>
      <c r="AB3" s="469"/>
      <c r="AC3" s="468"/>
      <c r="AD3" s="49"/>
      <c r="AE3" s="467"/>
      <c r="AF3" s="466"/>
    </row>
    <row r="4" spans="1:32" ht="12.75" x14ac:dyDescent="0.2">
      <c r="A4" s="656" t="str">
        <f>Identificar!A4</f>
        <v>Calogic</v>
      </c>
      <c r="B4" s="657"/>
      <c r="C4" s="657"/>
      <c r="D4" s="683"/>
      <c r="AB4" s="469"/>
      <c r="AC4" s="468"/>
      <c r="AD4" s="49"/>
      <c r="AE4" s="467"/>
      <c r="AF4" s="466"/>
    </row>
    <row r="5" spans="1:32" ht="26.25" thickBot="1" x14ac:dyDescent="0.25">
      <c r="A5" s="660"/>
      <c r="B5" s="661"/>
      <c r="C5" s="661"/>
      <c r="D5" s="685"/>
      <c r="E5" s="430"/>
      <c r="AB5" s="462" t="s">
        <v>704</v>
      </c>
      <c r="AC5" s="461">
        <v>1</v>
      </c>
      <c r="AD5" s="49"/>
      <c r="AE5" s="462" t="s">
        <v>703</v>
      </c>
      <c r="AF5" s="461">
        <v>1</v>
      </c>
    </row>
    <row r="6" spans="1:32" ht="27" customHeight="1" thickBot="1" x14ac:dyDescent="0.25">
      <c r="A6" s="662" t="s">
        <v>702</v>
      </c>
      <c r="B6" s="664" t="s">
        <v>700</v>
      </c>
      <c r="C6" s="665"/>
      <c r="D6" s="666"/>
      <c r="E6" s="654" t="s">
        <v>699</v>
      </c>
      <c r="F6" s="459"/>
      <c r="G6" s="669" t="s">
        <v>749</v>
      </c>
      <c r="H6" s="669" t="s">
        <v>748</v>
      </c>
      <c r="I6" s="669" t="s">
        <v>747</v>
      </c>
      <c r="J6" s="669" t="s">
        <v>697</v>
      </c>
      <c r="K6" s="671" t="s">
        <v>696</v>
      </c>
      <c r="AB6" s="454" t="s">
        <v>694</v>
      </c>
      <c r="AC6" s="453">
        <v>2</v>
      </c>
      <c r="AD6" s="49"/>
      <c r="AE6" s="454" t="s">
        <v>693</v>
      </c>
      <c r="AF6" s="453">
        <v>2</v>
      </c>
    </row>
    <row r="7" spans="1:32" s="452" customFormat="1" ht="52.5" customHeight="1" thickBot="1" x14ac:dyDescent="0.25">
      <c r="A7" s="663"/>
      <c r="B7" s="457" t="s">
        <v>690</v>
      </c>
      <c r="C7" s="457" t="s">
        <v>689</v>
      </c>
      <c r="D7" s="456" t="s">
        <v>727</v>
      </c>
      <c r="E7" s="655"/>
      <c r="F7" s="455" t="s">
        <v>687</v>
      </c>
      <c r="G7" s="670"/>
      <c r="H7" s="670"/>
      <c r="I7" s="670"/>
      <c r="J7" s="766"/>
      <c r="K7" s="686"/>
      <c r="AB7" s="454" t="s">
        <v>686</v>
      </c>
      <c r="AC7" s="453">
        <v>3</v>
      </c>
      <c r="AD7" s="49"/>
      <c r="AE7" s="454" t="s">
        <v>685</v>
      </c>
      <c r="AF7" s="453">
        <v>3</v>
      </c>
    </row>
    <row r="8" spans="1:32" ht="63" x14ac:dyDescent="0.2">
      <c r="A8" s="443" t="str">
        <f>IF(Identificar!A8&lt;&gt;"",Identificar!A8,"")</f>
        <v>R01</v>
      </c>
      <c r="B8" s="443" t="str">
        <f>IF(Identificar!D8&lt;&gt;"",Identificar!D8,"")</f>
        <v>Como resultado da falha da equipe e do gerente do projeto.</v>
      </c>
      <c r="C8" s="443" t="str">
        <f>IF(Identificar!E8&lt;&gt;"",Identificar!E8,"")</f>
        <v>Pode ocorrer de aumentar os custos e os atrasos, além de acabar com a expectativa do stakeholder.</v>
      </c>
      <c r="D8" s="443" t="str">
        <f>IF(Identificar!F8&lt;&gt;"",Identificar!F8,"")</f>
        <v>O que acarretaria capacitação para o lançamento do sistema.</v>
      </c>
      <c r="E8" s="443" t="s">
        <v>962</v>
      </c>
      <c r="F8" s="443" t="s">
        <v>1047</v>
      </c>
      <c r="G8" s="498">
        <v>15000</v>
      </c>
      <c r="H8" s="497">
        <v>15</v>
      </c>
      <c r="I8" s="497" t="s">
        <v>746</v>
      </c>
      <c r="J8" s="499" t="str">
        <f>Identificar!I8</f>
        <v>Realizar reuniões, definir responsabilidades e cronogramas que sigam as datas corretamente.</v>
      </c>
      <c r="K8" s="496" t="str">
        <f>Identificar!J8</f>
        <v xml:space="preserve">Replanejar o cronograma, as tarefas e contratar apoio caso necessário. </v>
      </c>
      <c r="AB8" s="445" t="s">
        <v>677</v>
      </c>
      <c r="AC8" s="444">
        <v>4</v>
      </c>
      <c r="AD8" s="446"/>
      <c r="AE8" s="445" t="s">
        <v>676</v>
      </c>
      <c r="AF8" s="444">
        <v>4</v>
      </c>
    </row>
    <row r="9" spans="1:32" ht="48" thickBot="1" x14ac:dyDescent="0.25">
      <c r="A9" s="443" t="str">
        <f>IF(Identificar!A9&lt;&gt;"",Identificar!A9,"")</f>
        <v>R02</v>
      </c>
      <c r="B9" s="443" t="str">
        <f>IF(Identificar!D9&lt;&gt;"",Identificar!D9,"")</f>
        <v>Como resultado de não implementação de segurança de autenticação.</v>
      </c>
      <c r="C9" s="443" t="str">
        <f>IF(Identificar!E9&lt;&gt;"",Identificar!E9,"")</f>
        <v>Pode ocorrer acesso indevido.</v>
      </c>
      <c r="D9" s="443" t="str">
        <f>IF(Identificar!F9&lt;&gt;"",Identificar!F9,"")</f>
        <v>O que acarretaria vazamento de dados e vulnerabilidade nos sistemas.</v>
      </c>
      <c r="E9" s="443" t="s">
        <v>960</v>
      </c>
      <c r="F9" s="443" t="s">
        <v>1048</v>
      </c>
      <c r="G9" s="498">
        <v>10000</v>
      </c>
      <c r="H9" s="497">
        <v>10</v>
      </c>
      <c r="I9" s="497" t="s">
        <v>745</v>
      </c>
      <c r="J9" s="496" t="str">
        <f>Identificar!I9</f>
        <v>Implementar autenticação multifator e criptografia; testar vulnerabilidades.</v>
      </c>
      <c r="K9" s="496" t="str">
        <f>Identificar!J9</f>
        <v>Bloquear contas comprometidas; restaurar backups; reforçar auditoria de acessos.</v>
      </c>
      <c r="AB9" s="448"/>
      <c r="AC9" s="447"/>
      <c r="AD9" s="446"/>
      <c r="AE9" s="445"/>
      <c r="AF9" s="444"/>
    </row>
    <row r="10" spans="1:32" ht="48" thickBot="1" x14ac:dyDescent="0.25">
      <c r="A10" s="443" t="str">
        <f>IF(Identificar!A10&lt;&gt;"",Identificar!A10,"")</f>
        <v>R03</v>
      </c>
      <c r="B10" s="443" t="str">
        <f>IF(Identificar!D10&lt;&gt;"",Identificar!D10,"")</f>
        <v>Como resultado da ausência de um plano de respostas a incidentes.</v>
      </c>
      <c r="C10" s="443" t="str">
        <f>IF(Identificar!E10&lt;&gt;"",Identificar!E10,"")</f>
        <v>Pode ocorrer a lentidão da resposta à ataques.</v>
      </c>
      <c r="D10" s="443" t="str">
        <f>IF(Identificar!F10&lt;&gt;"",Identificar!F10,"")</f>
        <v xml:space="preserve">O que acarretaria aumento da exposição. </v>
      </c>
      <c r="E10" s="443" t="s">
        <v>960</v>
      </c>
      <c r="F10" s="443" t="s">
        <v>1049</v>
      </c>
      <c r="G10" s="498">
        <v>12000</v>
      </c>
      <c r="H10" s="497">
        <v>12</v>
      </c>
      <c r="I10" s="497" t="s">
        <v>744</v>
      </c>
      <c r="J10" s="496" t="str">
        <f>Identificar!I10</f>
        <v>Criar e documentar plano de resposta; simular ataques (testes de penetração).</v>
      </c>
      <c r="K10" s="496" t="str">
        <f>Identificar!J10</f>
        <v>Ativar equipe de resposta rápida; priorizar mitigação e comunicação com stakeholders.</v>
      </c>
      <c r="AB10" s="448"/>
      <c r="AC10" s="447"/>
      <c r="AD10" s="446"/>
      <c r="AE10" s="445"/>
      <c r="AF10" s="444"/>
    </row>
    <row r="11" spans="1:32" ht="63.75" thickBot="1" x14ac:dyDescent="0.25">
      <c r="A11" s="443" t="str">
        <f>IF(Identificar!A11&lt;&gt;"",Identificar!A11,"")</f>
        <v>R04</v>
      </c>
      <c r="B11" s="443" t="str">
        <f>IF(Identificar!D11&lt;&gt;"",Identificar!D11,"")</f>
        <v>Como resultado da falta de controle de acesso.</v>
      </c>
      <c r="C11" s="443" t="str">
        <f>IF(Identificar!E11&lt;&gt;"",Identificar!E11,"")</f>
        <v>Pode ocorrer acesso indevido e ataques.</v>
      </c>
      <c r="D11" s="443" t="str">
        <f>IF(Identificar!F11&lt;&gt;"",Identificar!F11,"")</f>
        <v>O que acarretaria vazamento de dados e vulnerabilidade nos sistemas.</v>
      </c>
      <c r="E11" s="443" t="s">
        <v>973</v>
      </c>
      <c r="F11" s="443" t="s">
        <v>1050</v>
      </c>
      <c r="G11" s="498">
        <v>20000</v>
      </c>
      <c r="H11" s="497">
        <v>20</v>
      </c>
      <c r="I11" s="497" t="s">
        <v>743</v>
      </c>
      <c r="J11" s="496" t="str">
        <f>Identificar!I11</f>
        <v>Configurar níveis de permissão; revisar perfis trimestralmente.</v>
      </c>
      <c r="K11" s="496" t="str">
        <f>Identificar!J11</f>
        <v>Revogar acessos suspeitos; revisar logs; aplicar medidas disciplinares.</v>
      </c>
      <c r="AB11" s="448"/>
      <c r="AC11" s="447"/>
      <c r="AD11" s="446"/>
      <c r="AE11" s="445"/>
      <c r="AF11" s="444"/>
    </row>
    <row r="12" spans="1:32" ht="48" thickBot="1" x14ac:dyDescent="0.25">
      <c r="A12" s="443" t="str">
        <f>IF(Identificar!A12&lt;&gt;"",Identificar!A12,"")</f>
        <v>R05</v>
      </c>
      <c r="B12" s="443" t="str">
        <f>IF(Identificar!D12&lt;&gt;"",Identificar!D12,"")</f>
        <v>Como resultado da não anonimização de dados.</v>
      </c>
      <c r="C12" s="443" t="str">
        <f>IF(Identificar!E12&lt;&gt;"",Identificar!E12,"")</f>
        <v>Pode ocorrer vazamento de dados pessoais.</v>
      </c>
      <c r="D12" s="443" t="str">
        <f>IF(Identificar!F12&lt;&gt;"",Identificar!F12,"")</f>
        <v>O que acarretaria exposição desses dados pessoais.</v>
      </c>
      <c r="E12" s="443" t="s">
        <v>957</v>
      </c>
      <c r="F12" s="443" t="s">
        <v>1051</v>
      </c>
      <c r="G12" s="498">
        <v>25000</v>
      </c>
      <c r="H12" s="497">
        <v>25</v>
      </c>
      <c r="I12" s="497" t="s">
        <v>742</v>
      </c>
      <c r="J12" s="496" t="str">
        <f>Identificar!I12</f>
        <v>Anonimizar dados sensíveis; revisar políticas LGPD.</v>
      </c>
      <c r="K12" s="496" t="str">
        <f>Identificar!J12</f>
        <v>Acionar equipe jurídica; comunicar autoridade competente; corrigir falhas de segurança.</v>
      </c>
      <c r="AB12" s="448"/>
      <c r="AC12" s="447"/>
      <c r="AD12" s="446"/>
      <c r="AE12" s="445"/>
      <c r="AF12" s="444"/>
    </row>
    <row r="13" spans="1:32" ht="79.5" thickBot="1" x14ac:dyDescent="0.25">
      <c r="A13" s="443" t="str">
        <f>IF(Identificar!A13&lt;&gt;"",Identificar!A13,"")</f>
        <v>R06</v>
      </c>
      <c r="B13" s="443" t="str">
        <f>IF(Identificar!D13&lt;&gt;"",Identificar!D13,"")</f>
        <v xml:space="preserve">Como resultado da falta de redundância e backups. </v>
      </c>
      <c r="C13" s="443" t="str">
        <f>IF(Identificar!E13&lt;&gt;"",Identificar!E13,"")</f>
        <v>Pode ocorrer comprometimento do sistema.</v>
      </c>
      <c r="D13" s="443" t="str">
        <f>IF(Identificar!F13&lt;&gt;"",Identificar!F13,"")</f>
        <v>O que acarretaria indisponibilidade do sistema.</v>
      </c>
      <c r="E13" s="443" t="s">
        <v>957</v>
      </c>
      <c r="F13" s="443" t="s">
        <v>1052</v>
      </c>
      <c r="G13" s="498">
        <v>30000</v>
      </c>
      <c r="H13" s="497">
        <v>30</v>
      </c>
      <c r="I13" s="497" t="s">
        <v>741</v>
      </c>
      <c r="J13" s="496" t="str">
        <f>Identificar!I13</f>
        <v>Implementar backups automáticos e redundantes; testar restauração mensal.</v>
      </c>
      <c r="K13" s="496" t="str">
        <f>Identificar!J13</f>
        <v>Restaurar sistema a partir do backup mais recente; comunicar usuários sobre indisponibilidade.</v>
      </c>
      <c r="AB13" s="448"/>
      <c r="AC13" s="447"/>
      <c r="AD13" s="446"/>
      <c r="AE13" s="445"/>
      <c r="AF13" s="444"/>
    </row>
    <row r="14" spans="1:32" ht="63.75" thickBot="1" x14ac:dyDescent="0.25">
      <c r="A14" s="443" t="str">
        <f>IF(Identificar!A14&lt;&gt;"",Identificar!A14,"")</f>
        <v>R07</v>
      </c>
      <c r="B14" s="443" t="str">
        <f>IF(Identificar!D14&lt;&gt;"",Identificar!D14,"")</f>
        <v>Como resultado de falta de avaliação contínua.</v>
      </c>
      <c r="C14" s="443" t="str">
        <f>IF(Identificar!E14&lt;&gt;"",Identificar!E14,"")</f>
        <v>Pode ocorrer bugs não tratados e obsoleineidade do sistema.</v>
      </c>
      <c r="D14" s="443" t="str">
        <f>IF(Identificar!F14&lt;&gt;"",Identificar!F14,"")</f>
        <v>O que acarretaria baixa satisfação do usuário.</v>
      </c>
      <c r="E14" s="443" t="s">
        <v>973</v>
      </c>
      <c r="F14" s="443" t="s">
        <v>1053</v>
      </c>
      <c r="G14" s="498">
        <v>10000</v>
      </c>
      <c r="H14" s="497">
        <v>10</v>
      </c>
      <c r="I14" s="497" t="s">
        <v>740</v>
      </c>
      <c r="J14" s="496" t="str">
        <f>Identificar!I14</f>
        <v>Adotar ciclos de revisão contínua (sprints); testes automatizados.</v>
      </c>
      <c r="K14" s="496" t="str">
        <f>Identificar!J14</f>
        <v>Suspender versões instáveis; corrigir falhas emergenciais.</v>
      </c>
      <c r="AB14" s="448"/>
      <c r="AC14" s="447"/>
      <c r="AD14" s="446"/>
      <c r="AE14" s="445"/>
      <c r="AF14" s="444"/>
    </row>
    <row r="15" spans="1:32" ht="34.5" thickBot="1" x14ac:dyDescent="0.25">
      <c r="A15" s="443" t="str">
        <f>IF(Identificar!A15&lt;&gt;"",Identificar!A15,"")</f>
        <v>R08</v>
      </c>
      <c r="B15" s="443" t="str">
        <f>IF(Identificar!D15&lt;&gt;"",Identificar!D15,"")</f>
        <v xml:space="preserve">Como resultado da não observação das leis atuais. </v>
      </c>
      <c r="C15" s="443" t="str">
        <f>IF(Identificar!E15&lt;&gt;"",Identificar!E15,"")</f>
        <v>Pode ocorrer exposição de informações.</v>
      </c>
      <c r="D15" s="443" t="str">
        <f>IF(Identificar!F15&lt;&gt;"",Identificar!F15,"")</f>
        <v>O que acarretaria violação da LGPD e multas.</v>
      </c>
      <c r="E15" s="443" t="s">
        <v>962</v>
      </c>
      <c r="F15" s="443" t="s">
        <v>1054</v>
      </c>
      <c r="G15" s="498">
        <v>20000</v>
      </c>
      <c r="H15" s="497">
        <v>20</v>
      </c>
      <c r="I15" s="497" t="s">
        <v>739</v>
      </c>
      <c r="J15" s="496" t="str">
        <f>Identificar!I15</f>
        <v>Revisar legislação aplicável; aplicar políticas de privacidade.</v>
      </c>
      <c r="K15" s="496" t="str">
        <f>Identificar!J15</f>
        <v>Consultar assessoria jurídica; ajustar documentação e avisos legais.</v>
      </c>
      <c r="AB15" s="448"/>
      <c r="AC15" s="447"/>
      <c r="AD15" s="446"/>
      <c r="AE15" s="445"/>
      <c r="AF15" s="444"/>
    </row>
    <row r="16" spans="1:32" ht="63.75" thickBot="1" x14ac:dyDescent="0.25">
      <c r="A16" s="443" t="str">
        <f>IF(Identificar!A16&lt;&gt;"",Identificar!A16,"")</f>
        <v>R09</v>
      </c>
      <c r="B16" s="443" t="str">
        <f>IF(Identificar!D16&lt;&gt;"",Identificar!D16,"")</f>
        <v>Como resultado da falta de engajamento dos parceiros.</v>
      </c>
      <c r="C16" s="443" t="str">
        <f>IF(Identificar!E16&lt;&gt;"",Identificar!E16,"")</f>
        <v>Pode ocorrer que os stakeholders se frustem.</v>
      </c>
      <c r="D16" s="443" t="str">
        <f>IF(Identificar!F16&lt;&gt;"",Identificar!F16,"")</f>
        <v>O que acarretaria desconfiança do produto.</v>
      </c>
      <c r="E16" s="443" t="s">
        <v>962</v>
      </c>
      <c r="F16" s="443" t="s">
        <v>1055</v>
      </c>
      <c r="G16" s="498">
        <v>7000</v>
      </c>
      <c r="H16" s="497">
        <v>7</v>
      </c>
      <c r="I16" s="497" t="s">
        <v>738</v>
      </c>
      <c r="J16" s="496" t="str">
        <f>Identificar!I16</f>
        <v>Promover reuniões e relatórios periódicos; manter comunicação transparente.</v>
      </c>
      <c r="K16" s="496" t="str">
        <f>Identificar!J16</f>
        <v>Realinhar expectativas; reforçar comunicação e demonstrar entregas.</v>
      </c>
      <c r="AB16" s="448"/>
      <c r="AC16" s="447"/>
      <c r="AD16" s="446"/>
      <c r="AE16" s="445"/>
      <c r="AF16" s="444"/>
    </row>
    <row r="17" spans="1:32" ht="63.75" thickBot="1" x14ac:dyDescent="0.25">
      <c r="A17" s="443" t="str">
        <f>IF(Identificar!A17&lt;&gt;"",Identificar!A17,"")</f>
        <v>R10</v>
      </c>
      <c r="B17" s="443" t="str">
        <f>IF(Identificar!D17&lt;&gt;"",Identificar!D17,"")</f>
        <v>Como resultado da falta de gestão de mudanças.</v>
      </c>
      <c r="C17" s="443" t="str">
        <f>IF(Identificar!E17&lt;&gt;"",Identificar!E17,"")</f>
        <v>Pode ocorrer atraso no desenvolvimento.</v>
      </c>
      <c r="D17" s="443" t="str">
        <f>IF(Identificar!F17&lt;&gt;"",Identificar!F17,"")</f>
        <v>O que acarretaria atrasos e instabilidades.</v>
      </c>
      <c r="E17" s="443" t="s">
        <v>958</v>
      </c>
      <c r="F17" s="443" t="s">
        <v>1056</v>
      </c>
      <c r="G17" s="498">
        <v>15000</v>
      </c>
      <c r="H17" s="497">
        <v>15</v>
      </c>
      <c r="I17" s="497" t="s">
        <v>737</v>
      </c>
      <c r="J17" s="496" t="str">
        <f>Identificar!I17</f>
        <v>Implantar processo formal de controle de mudanças (Change Management).</v>
      </c>
      <c r="K17" s="496" t="str">
        <f>Identificar!J17</f>
        <v>Reverter versão anterior (rollback); ajustar documentação técnica.</v>
      </c>
      <c r="AB17" s="448"/>
      <c r="AC17" s="447"/>
      <c r="AD17" s="446"/>
      <c r="AE17" s="445"/>
      <c r="AF17" s="444"/>
    </row>
    <row r="18" spans="1:32" ht="16.5" thickBot="1" x14ac:dyDescent="0.25">
      <c r="A18" s="443" t="str">
        <f>IF(Identificar!A18&lt;&gt;"",Identificar!A18,"")</f>
        <v>R11</v>
      </c>
      <c r="B18" s="443" t="str">
        <f>IF(Identificar!D18&lt;&gt;"",Identificar!D18,"")</f>
        <v/>
      </c>
      <c r="C18" s="443" t="str">
        <f>IF(Identificar!E18&lt;&gt;"",Identificar!E18,"")</f>
        <v/>
      </c>
      <c r="D18" s="443" t="str">
        <f>IF(Identificar!F18&lt;&gt;"",Identificar!F18,"")</f>
        <v/>
      </c>
      <c r="E18" s="443" t="str">
        <f>IF(Identificar!G18&lt;&gt;"",Identificar!G18,"")</f>
        <v/>
      </c>
      <c r="F18" s="435"/>
      <c r="G18" s="498"/>
      <c r="H18" s="497"/>
      <c r="I18" s="497"/>
      <c r="J18" s="496"/>
      <c r="K18" s="496"/>
      <c r="AB18" s="448"/>
      <c r="AC18" s="447"/>
      <c r="AD18" s="446"/>
      <c r="AE18" s="445"/>
      <c r="AF18" s="444"/>
    </row>
    <row r="19" spans="1:32" ht="16.5" thickBot="1" x14ac:dyDescent="0.25">
      <c r="A19" s="443" t="str">
        <f>IF(Identificar!A19&lt;&gt;"",Identificar!A19,"")</f>
        <v>R12</v>
      </c>
      <c r="B19" s="443" t="str">
        <f>IF(Identificar!D19&lt;&gt;"",Identificar!D19,"")</f>
        <v/>
      </c>
      <c r="C19" s="443" t="str">
        <f>IF(Identificar!E19&lt;&gt;"",Identificar!E19,"")</f>
        <v/>
      </c>
      <c r="D19" s="443" t="str">
        <f>IF(Identificar!F19&lt;&gt;"",Identificar!F19,"")</f>
        <v/>
      </c>
      <c r="E19" s="443" t="str">
        <f>IF(Identificar!G19&lt;&gt;"",Identificar!G19,"")</f>
        <v/>
      </c>
      <c r="F19" s="435"/>
      <c r="G19" s="498"/>
      <c r="H19" s="497"/>
      <c r="I19" s="497"/>
      <c r="J19" s="496"/>
      <c r="K19" s="496"/>
      <c r="AB19" s="448"/>
      <c r="AC19" s="447"/>
      <c r="AD19" s="446"/>
      <c r="AE19" s="445"/>
      <c r="AF19" s="444"/>
    </row>
    <row r="20" spans="1:32" ht="16.5" thickBot="1" x14ac:dyDescent="0.25">
      <c r="A20" s="443" t="str">
        <f>IF(Identificar!A20&lt;&gt;"",Identificar!A20,"")</f>
        <v>R13</v>
      </c>
      <c r="B20" s="443" t="str">
        <f>IF(Identificar!D20&lt;&gt;"",Identificar!D20,"")</f>
        <v/>
      </c>
      <c r="C20" s="443" t="str">
        <f>IF(Identificar!E20&lt;&gt;"",Identificar!E20,"")</f>
        <v/>
      </c>
      <c r="D20" s="443" t="str">
        <f>IF(Identificar!F20&lt;&gt;"",Identificar!F20,"")</f>
        <v/>
      </c>
      <c r="E20" s="443" t="str">
        <f>IF(Identificar!G20&lt;&gt;"",Identificar!G20,"")</f>
        <v/>
      </c>
      <c r="F20" s="435"/>
      <c r="G20" s="498"/>
      <c r="H20" s="497"/>
      <c r="I20" s="497"/>
      <c r="J20" s="496"/>
      <c r="K20" s="496"/>
      <c r="AB20" s="448"/>
      <c r="AC20" s="447"/>
      <c r="AD20" s="446"/>
      <c r="AE20" s="445"/>
      <c r="AF20" s="444"/>
    </row>
    <row r="21" spans="1:32" ht="16.5" thickBot="1" x14ac:dyDescent="0.25">
      <c r="A21" s="443" t="str">
        <f>IF(Identificar!A21&lt;&gt;"",Identificar!A21,"")</f>
        <v>R14</v>
      </c>
      <c r="B21" s="443" t="str">
        <f>IF(Identificar!D21&lt;&gt;"",Identificar!D21,"")</f>
        <v/>
      </c>
      <c r="C21" s="443" t="str">
        <f>IF(Identificar!E21&lt;&gt;"",Identificar!E21,"")</f>
        <v/>
      </c>
      <c r="D21" s="443" t="str">
        <f>IF(Identificar!F21&lt;&gt;"",Identificar!F21,"")</f>
        <v/>
      </c>
      <c r="E21" s="443" t="str">
        <f>IF(Identificar!G21&lt;&gt;"",Identificar!G21,"")</f>
        <v/>
      </c>
      <c r="F21" s="435"/>
      <c r="G21" s="498"/>
      <c r="H21" s="497"/>
      <c r="I21" s="497"/>
      <c r="J21" s="496"/>
      <c r="K21" s="496"/>
      <c r="AB21" s="448"/>
      <c r="AC21" s="447"/>
      <c r="AD21" s="446"/>
      <c r="AE21" s="445"/>
      <c r="AF21" s="444"/>
    </row>
    <row r="22" spans="1:32" ht="16.5" thickBot="1" x14ac:dyDescent="0.25">
      <c r="A22" s="443" t="str">
        <f>IF(Identificar!A22&lt;&gt;"",Identificar!A22,"")</f>
        <v>R15</v>
      </c>
      <c r="B22" s="443" t="str">
        <f>IF(Identificar!D22&lt;&gt;"",Identificar!D22,"")</f>
        <v/>
      </c>
      <c r="C22" s="443" t="str">
        <f>IF(Identificar!E22&lt;&gt;"",Identificar!E22,"")</f>
        <v/>
      </c>
      <c r="D22" s="443" t="str">
        <f>IF(Identificar!F22&lt;&gt;"",Identificar!F22,"")</f>
        <v/>
      </c>
      <c r="E22" s="443" t="str">
        <f>IF(Identificar!G22&lt;&gt;"",Identificar!G22,"")</f>
        <v/>
      </c>
      <c r="F22" s="435"/>
      <c r="G22" s="498"/>
      <c r="H22" s="497"/>
      <c r="I22" s="497"/>
      <c r="J22" s="496"/>
      <c r="K22" s="496"/>
      <c r="AB22" s="448"/>
      <c r="AC22" s="447"/>
      <c r="AD22" s="446"/>
      <c r="AE22" s="445"/>
      <c r="AF22" s="444"/>
    </row>
    <row r="23" spans="1:32" ht="16.5" thickBot="1" x14ac:dyDescent="0.25">
      <c r="A23" s="443" t="str">
        <f>IF(Identificar!A23&lt;&gt;"",Identificar!A23,"")</f>
        <v>R16</v>
      </c>
      <c r="B23" s="443" t="str">
        <f>IF(Identificar!D23&lt;&gt;"",Identificar!D23,"")</f>
        <v/>
      </c>
      <c r="C23" s="443" t="str">
        <f>IF(Identificar!E23&lt;&gt;"",Identificar!E23,"")</f>
        <v/>
      </c>
      <c r="D23" s="443" t="str">
        <f>IF(Identificar!F23&lt;&gt;"",Identificar!F23,"")</f>
        <v/>
      </c>
      <c r="E23" s="443" t="str">
        <f>IF(Identificar!G23&lt;&gt;"",Identificar!G23,"")</f>
        <v/>
      </c>
      <c r="F23" s="435"/>
      <c r="G23" s="498"/>
      <c r="H23" s="497"/>
      <c r="I23" s="497"/>
      <c r="J23" s="496"/>
      <c r="K23" s="496"/>
      <c r="AB23" s="448"/>
      <c r="AC23" s="447"/>
      <c r="AD23" s="446"/>
      <c r="AE23" s="445"/>
      <c r="AF23" s="444"/>
    </row>
    <row r="24" spans="1:32" ht="16.5" thickBot="1" x14ac:dyDescent="0.25">
      <c r="A24" s="443" t="str">
        <f>IF(Identificar!A24&lt;&gt;"",Identificar!A24,"")</f>
        <v>R17</v>
      </c>
      <c r="B24" s="443" t="str">
        <f>IF(Identificar!D24&lt;&gt;"",Identificar!D24,"")</f>
        <v/>
      </c>
      <c r="C24" s="443" t="str">
        <f>IF(Identificar!E24&lt;&gt;"",Identificar!E24,"")</f>
        <v/>
      </c>
      <c r="D24" s="443" t="str">
        <f>IF(Identificar!F24&lt;&gt;"",Identificar!F24,"")</f>
        <v/>
      </c>
      <c r="E24" s="443" t="str">
        <f>IF(Identificar!G24&lt;&gt;"",Identificar!G24,"")</f>
        <v/>
      </c>
      <c r="F24" s="435"/>
      <c r="G24" s="498"/>
      <c r="H24" s="497"/>
      <c r="I24" s="497"/>
      <c r="J24" s="496"/>
      <c r="K24" s="496"/>
      <c r="AB24" s="448"/>
      <c r="AC24" s="447"/>
      <c r="AD24" s="446"/>
      <c r="AE24" s="445"/>
      <c r="AF24" s="444"/>
    </row>
    <row r="25" spans="1:32" ht="16.5" thickBot="1" x14ac:dyDescent="0.25">
      <c r="A25" s="443" t="str">
        <f>IF(Identificar!A25&lt;&gt;"",Identificar!A25,"")</f>
        <v>R18</v>
      </c>
      <c r="B25" s="443" t="str">
        <f>IF(Identificar!D25&lt;&gt;"",Identificar!D25,"")</f>
        <v/>
      </c>
      <c r="C25" s="443" t="str">
        <f>IF(Identificar!E25&lt;&gt;"",Identificar!E25,"")</f>
        <v/>
      </c>
      <c r="D25" s="443" t="str">
        <f>IF(Identificar!F25&lt;&gt;"",Identificar!F25,"")</f>
        <v/>
      </c>
      <c r="E25" s="443" t="str">
        <f>IF(Identificar!G25&lt;&gt;"",Identificar!G25,"")</f>
        <v/>
      </c>
      <c r="F25" s="435"/>
      <c r="G25" s="498"/>
      <c r="H25" s="497"/>
      <c r="I25" s="497"/>
      <c r="J25" s="496"/>
      <c r="K25" s="496"/>
      <c r="AB25" s="448"/>
      <c r="AC25" s="447"/>
      <c r="AD25" s="446"/>
      <c r="AE25" s="445"/>
      <c r="AF25" s="444"/>
    </row>
    <row r="26" spans="1:32" ht="16.5" thickBot="1" x14ac:dyDescent="0.25">
      <c r="A26" s="443" t="str">
        <f>IF(Identificar!A26&lt;&gt;"",Identificar!A26,"")</f>
        <v>R19</v>
      </c>
      <c r="B26" s="443" t="str">
        <f>IF(Identificar!D26&lt;&gt;"",Identificar!D26,"")</f>
        <v/>
      </c>
      <c r="C26" s="443" t="str">
        <f>IF(Identificar!E26&lt;&gt;"",Identificar!E26,"")</f>
        <v/>
      </c>
      <c r="D26" s="443" t="str">
        <f>IF(Identificar!F26&lt;&gt;"",Identificar!F26,"")</f>
        <v/>
      </c>
      <c r="E26" s="443" t="str">
        <f>IF(Identificar!G26&lt;&gt;"",Identificar!G26,"")</f>
        <v/>
      </c>
      <c r="F26" s="435"/>
      <c r="G26" s="498"/>
      <c r="H26" s="497"/>
      <c r="I26" s="497"/>
      <c r="J26" s="496"/>
      <c r="K26" s="496"/>
      <c r="AB26" s="448"/>
      <c r="AC26" s="447"/>
      <c r="AD26" s="446"/>
      <c r="AE26" s="445"/>
      <c r="AF26" s="444"/>
    </row>
    <row r="27" spans="1:32" ht="16.5" thickBot="1" x14ac:dyDescent="0.25">
      <c r="A27" s="443" t="str">
        <f>IF(Identificar!A27&lt;&gt;"",Identificar!A27,"")</f>
        <v>R20</v>
      </c>
      <c r="B27" s="443" t="str">
        <f>IF(Identificar!D27&lt;&gt;"",Identificar!D27,"")</f>
        <v/>
      </c>
      <c r="C27" s="443" t="str">
        <f>IF(Identificar!E27&lt;&gt;"",Identificar!E27,"")</f>
        <v/>
      </c>
      <c r="D27" s="443" t="str">
        <f>IF(Identificar!F27&lt;&gt;"",Identificar!F27,"")</f>
        <v/>
      </c>
      <c r="E27" s="443" t="str">
        <f>IF(Identificar!G27&lt;&gt;"",Identificar!G27,"")</f>
        <v/>
      </c>
      <c r="F27" s="435"/>
      <c r="G27" s="498"/>
      <c r="H27" s="497"/>
      <c r="I27" s="497"/>
      <c r="J27" s="496"/>
      <c r="K27" s="496"/>
      <c r="AB27" s="448"/>
      <c r="AC27" s="447"/>
      <c r="AD27" s="446"/>
      <c r="AE27" s="445"/>
      <c r="AF27" s="444"/>
    </row>
    <row r="28" spans="1:32" ht="16.5" thickBot="1" x14ac:dyDescent="0.25">
      <c r="A28" s="443" t="str">
        <f>IF(Identificar!A28&lt;&gt;"",Identificar!A28,"")</f>
        <v/>
      </c>
      <c r="B28" s="443" t="str">
        <f>IF(Identificar!D28&lt;&gt;"",Identificar!D28,"")</f>
        <v/>
      </c>
      <c r="C28" s="443" t="str">
        <f>IF(Identificar!E28&lt;&gt;"",Identificar!E28,"")</f>
        <v/>
      </c>
      <c r="D28" s="443" t="str">
        <f>IF(Identificar!F28&lt;&gt;"",Identificar!F28,"")</f>
        <v/>
      </c>
      <c r="E28" s="443" t="str">
        <f>IF(Identificar!G28&lt;&gt;"",Identificar!G28,"")</f>
        <v/>
      </c>
      <c r="F28" s="435"/>
      <c r="G28" s="498"/>
      <c r="H28" s="497"/>
      <c r="I28" s="497"/>
      <c r="J28" s="496"/>
      <c r="K28" s="496"/>
      <c r="AB28" s="448"/>
      <c r="AC28" s="447"/>
      <c r="AD28" s="446"/>
      <c r="AE28" s="445"/>
      <c r="AF28" s="444"/>
    </row>
    <row r="29" spans="1:32" ht="16.5" thickBot="1" x14ac:dyDescent="0.25">
      <c r="A29" s="443" t="str">
        <f>IF(Identificar!A29&lt;&gt;"",Identificar!A29,"")</f>
        <v/>
      </c>
      <c r="B29" s="443" t="str">
        <f>IF(Identificar!D29&lt;&gt;"",Identificar!D29,"")</f>
        <v/>
      </c>
      <c r="C29" s="443" t="str">
        <f>IF(Identificar!E29&lt;&gt;"",Identificar!E29,"")</f>
        <v/>
      </c>
      <c r="D29" s="443" t="str">
        <f>IF(Identificar!F29&lt;&gt;"",Identificar!F29,"")</f>
        <v/>
      </c>
      <c r="E29" s="443" t="str">
        <f>IF(Identificar!G29&lt;&gt;"",Identificar!G29,"")</f>
        <v/>
      </c>
      <c r="F29" s="435"/>
      <c r="G29" s="498"/>
      <c r="H29" s="497"/>
      <c r="I29" s="497"/>
      <c r="J29" s="496"/>
      <c r="K29" s="496"/>
      <c r="AB29" s="448"/>
      <c r="AC29" s="447"/>
      <c r="AD29" s="446"/>
      <c r="AE29" s="445"/>
      <c r="AF29" s="444"/>
    </row>
  </sheetData>
  <autoFilter ref="A6:E17" xr:uid="{7A3D26B1-8847-49D9-A0C4-DFBDA3448955}">
    <filterColumn colId="1" showButton="0"/>
    <filterColumn colId="2" showButton="0"/>
  </autoFilter>
  <mergeCells count="12">
    <mergeCell ref="AE1:AF1"/>
    <mergeCell ref="A1:D3"/>
    <mergeCell ref="A4:D5"/>
    <mergeCell ref="AB1:AC1"/>
    <mergeCell ref="A6:A7"/>
    <mergeCell ref="E6:E7"/>
    <mergeCell ref="I6:I7"/>
    <mergeCell ref="J6:J7"/>
    <mergeCell ref="K6:K7"/>
    <mergeCell ref="G6:G7"/>
    <mergeCell ref="H6:H7"/>
    <mergeCell ref="B6:D6"/>
  </mergeCells>
  <pageMargins left="0.59055118110236227" right="0.59055118110236227" top="0.59055118110236227" bottom="0.59055118110236227" header="0.51181102362204722" footer="0.51181102362204722"/>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6E4A-59AA-4F2F-8695-F24C00A51E10}">
  <sheetPr codeName="Plan6"/>
  <dimension ref="A1:F35"/>
  <sheetViews>
    <sheetView showGridLines="0" topLeftCell="A4" zoomScale="120" zoomScaleNormal="120" workbookViewId="0">
      <selection activeCell="A22" sqref="A22"/>
    </sheetView>
  </sheetViews>
  <sheetFormatPr defaultRowHeight="12.75" x14ac:dyDescent="0.2"/>
  <cols>
    <col min="1" max="1" width="42.85546875" style="322" bestFit="1" customWidth="1"/>
    <col min="2" max="2" width="9.28515625" style="746" customWidth="1"/>
    <col min="3" max="3" width="49.28515625" style="322" bestFit="1" customWidth="1"/>
    <col min="4" max="4" width="11.5703125" style="746" customWidth="1"/>
    <col min="5" max="5" width="15.28515625" style="746" customWidth="1"/>
    <col min="6" max="6" width="23.140625" style="565" customWidth="1"/>
    <col min="7" max="16384" width="9.140625" style="322"/>
  </cols>
  <sheetData>
    <row r="1" spans="1:6" s="565" customFormat="1" ht="15.75" x14ac:dyDescent="0.25">
      <c r="A1" s="759" t="s">
        <v>526</v>
      </c>
      <c r="B1" s="757" t="s">
        <v>1046</v>
      </c>
      <c r="C1" s="757" t="s">
        <v>1045</v>
      </c>
      <c r="D1" s="757" t="s">
        <v>1044</v>
      </c>
      <c r="E1" s="758" t="s">
        <v>1043</v>
      </c>
      <c r="F1" s="757" t="s">
        <v>705</v>
      </c>
    </row>
    <row r="2" spans="1:6" ht="15" x14ac:dyDescent="0.2">
      <c r="A2" s="755" t="s">
        <v>1042</v>
      </c>
      <c r="B2" s="753">
        <v>1.05</v>
      </c>
      <c r="C2" s="754" t="s">
        <v>1038</v>
      </c>
      <c r="D2" s="753">
        <v>2.0499999999999998</v>
      </c>
      <c r="E2" s="753">
        <f>B2*D2</f>
        <v>2.1524999999999999</v>
      </c>
      <c r="F2" s="752" t="s">
        <v>720</v>
      </c>
    </row>
    <row r="3" spans="1:6" ht="15" x14ac:dyDescent="0.2">
      <c r="A3" s="755" t="s">
        <v>1042</v>
      </c>
      <c r="B3" s="753">
        <v>1.05</v>
      </c>
      <c r="C3" s="754" t="s">
        <v>1037</v>
      </c>
      <c r="D3" s="753">
        <v>2.1</v>
      </c>
      <c r="E3" s="753">
        <f>B3*D3</f>
        <v>2.2050000000000001</v>
      </c>
      <c r="F3" s="752" t="s">
        <v>1032</v>
      </c>
    </row>
    <row r="4" spans="1:6" ht="15" x14ac:dyDescent="0.2">
      <c r="A4" s="755" t="s">
        <v>1042</v>
      </c>
      <c r="B4" s="753">
        <v>1.05</v>
      </c>
      <c r="C4" s="754" t="s">
        <v>1036</v>
      </c>
      <c r="D4" s="753">
        <v>2.2000000000000002</v>
      </c>
      <c r="E4" s="753">
        <f>B4*D4</f>
        <v>2.3100000000000005</v>
      </c>
      <c r="F4" s="752" t="s">
        <v>1032</v>
      </c>
    </row>
    <row r="5" spans="1:6" ht="15" x14ac:dyDescent="0.2">
      <c r="A5" s="755" t="s">
        <v>1042</v>
      </c>
      <c r="B5" s="753">
        <v>1.05</v>
      </c>
      <c r="C5" s="754" t="s">
        <v>1035</v>
      </c>
      <c r="D5" s="753">
        <v>2.4</v>
      </c>
      <c r="E5" s="753">
        <f>B5*D5</f>
        <v>2.52</v>
      </c>
      <c r="F5" s="752" t="s">
        <v>1031</v>
      </c>
    </row>
    <row r="6" spans="1:6" ht="15" x14ac:dyDescent="0.2">
      <c r="A6" s="755" t="s">
        <v>1042</v>
      </c>
      <c r="B6" s="753">
        <v>1.05</v>
      </c>
      <c r="C6" s="754" t="s">
        <v>1033</v>
      </c>
      <c r="D6" s="753">
        <v>2.8</v>
      </c>
      <c r="E6" s="753">
        <f>B6*D6</f>
        <v>2.94</v>
      </c>
      <c r="F6" s="752" t="s">
        <v>1030</v>
      </c>
    </row>
    <row r="7" spans="1:6" ht="15" x14ac:dyDescent="0.2">
      <c r="A7" s="755"/>
      <c r="B7" s="756"/>
      <c r="C7" s="754"/>
      <c r="D7" s="756"/>
      <c r="E7" s="753"/>
      <c r="F7" s="753"/>
    </row>
    <row r="8" spans="1:6" ht="15" x14ac:dyDescent="0.2">
      <c r="A8" s="755" t="s">
        <v>1041</v>
      </c>
      <c r="B8" s="753">
        <v>1.1000000000000001</v>
      </c>
      <c r="C8" s="754" t="s">
        <v>1038</v>
      </c>
      <c r="D8" s="753">
        <v>2.0499999999999998</v>
      </c>
      <c r="E8" s="753">
        <f>B8*D8</f>
        <v>2.2549999999999999</v>
      </c>
      <c r="F8" s="752" t="s">
        <v>1032</v>
      </c>
    </row>
    <row r="9" spans="1:6" ht="15" x14ac:dyDescent="0.2">
      <c r="A9" s="755" t="s">
        <v>1041</v>
      </c>
      <c r="B9" s="753">
        <v>1.1000000000000001</v>
      </c>
      <c r="C9" s="754" t="s">
        <v>1037</v>
      </c>
      <c r="D9" s="753">
        <v>2.1</v>
      </c>
      <c r="E9" s="753">
        <f>B9*D9</f>
        <v>2.3100000000000005</v>
      </c>
      <c r="F9" s="752" t="s">
        <v>1032</v>
      </c>
    </row>
    <row r="10" spans="1:6" ht="15" x14ac:dyDescent="0.2">
      <c r="A10" s="755" t="s">
        <v>1041</v>
      </c>
      <c r="B10" s="753">
        <v>1.1000000000000001</v>
      </c>
      <c r="C10" s="754" t="s">
        <v>1036</v>
      </c>
      <c r="D10" s="753">
        <v>2.2000000000000002</v>
      </c>
      <c r="E10" s="753">
        <f>B10*D10</f>
        <v>2.4200000000000004</v>
      </c>
      <c r="F10" s="752" t="s">
        <v>1031</v>
      </c>
    </row>
    <row r="11" spans="1:6" ht="15" x14ac:dyDescent="0.2">
      <c r="A11" s="755" t="s">
        <v>1041</v>
      </c>
      <c r="B11" s="753">
        <v>1.1000000000000001</v>
      </c>
      <c r="C11" s="754" t="s">
        <v>1035</v>
      </c>
      <c r="D11" s="753">
        <v>2.4</v>
      </c>
      <c r="E11" s="753">
        <f>B11*D11</f>
        <v>2.64</v>
      </c>
      <c r="F11" s="752" t="s">
        <v>1030</v>
      </c>
    </row>
    <row r="12" spans="1:6" ht="15" x14ac:dyDescent="0.2">
      <c r="A12" s="755" t="s">
        <v>1041</v>
      </c>
      <c r="B12" s="753">
        <v>1.1000000000000001</v>
      </c>
      <c r="C12" s="754" t="s">
        <v>1033</v>
      </c>
      <c r="D12" s="753">
        <v>2.8</v>
      </c>
      <c r="E12" s="753">
        <f>B12*D12</f>
        <v>3.08</v>
      </c>
      <c r="F12" s="752" t="s">
        <v>1030</v>
      </c>
    </row>
    <row r="13" spans="1:6" ht="15" x14ac:dyDescent="0.2">
      <c r="A13" s="755"/>
      <c r="B13" s="756"/>
      <c r="C13" s="754"/>
      <c r="D13" s="756"/>
      <c r="E13" s="753"/>
      <c r="F13" s="753"/>
    </row>
    <row r="14" spans="1:6" ht="15" x14ac:dyDescent="0.2">
      <c r="A14" s="755" t="s">
        <v>1040</v>
      </c>
      <c r="B14" s="753">
        <v>1.2</v>
      </c>
      <c r="C14" s="754" t="s">
        <v>1038</v>
      </c>
      <c r="D14" s="753">
        <v>2.0499999999999998</v>
      </c>
      <c r="E14" s="753">
        <f>B14*D14</f>
        <v>2.4599999999999995</v>
      </c>
      <c r="F14" s="752" t="s">
        <v>1031</v>
      </c>
    </row>
    <row r="15" spans="1:6" ht="15" x14ac:dyDescent="0.2">
      <c r="A15" s="755" t="s">
        <v>1040</v>
      </c>
      <c r="B15" s="753">
        <v>1.2</v>
      </c>
      <c r="C15" s="754" t="s">
        <v>1037</v>
      </c>
      <c r="D15" s="753">
        <v>2.1</v>
      </c>
      <c r="E15" s="753">
        <f>B15*D15</f>
        <v>2.52</v>
      </c>
      <c r="F15" s="752" t="s">
        <v>1031</v>
      </c>
    </row>
    <row r="16" spans="1:6" ht="15" x14ac:dyDescent="0.2">
      <c r="A16" s="755" t="s">
        <v>1040</v>
      </c>
      <c r="B16" s="753">
        <v>1.2</v>
      </c>
      <c r="C16" s="754" t="s">
        <v>1036</v>
      </c>
      <c r="D16" s="753">
        <v>2.2000000000000002</v>
      </c>
      <c r="E16" s="753">
        <f>B16*D16</f>
        <v>2.64</v>
      </c>
      <c r="F16" s="752" t="s">
        <v>1030</v>
      </c>
    </row>
    <row r="17" spans="1:6" ht="15" x14ac:dyDescent="0.2">
      <c r="A17" s="755" t="s">
        <v>1040</v>
      </c>
      <c r="B17" s="753">
        <v>1.2</v>
      </c>
      <c r="C17" s="754" t="s">
        <v>1035</v>
      </c>
      <c r="D17" s="753">
        <v>2.4</v>
      </c>
      <c r="E17" s="753">
        <f>B17*D17</f>
        <v>2.88</v>
      </c>
      <c r="F17" s="752" t="s">
        <v>1030</v>
      </c>
    </row>
    <row r="18" spans="1:6" ht="15" x14ac:dyDescent="0.2">
      <c r="A18" s="755" t="s">
        <v>1040</v>
      </c>
      <c r="B18" s="753">
        <v>1.2</v>
      </c>
      <c r="C18" s="754" t="s">
        <v>1033</v>
      </c>
      <c r="D18" s="753">
        <v>2.8</v>
      </c>
      <c r="E18" s="753">
        <f>B18*D18</f>
        <v>3.36</v>
      </c>
      <c r="F18" s="752" t="s">
        <v>1029</v>
      </c>
    </row>
    <row r="19" spans="1:6" ht="15" x14ac:dyDescent="0.2">
      <c r="A19" s="755"/>
      <c r="B19" s="756"/>
      <c r="C19" s="754"/>
      <c r="D19" s="756"/>
      <c r="E19" s="753"/>
      <c r="F19" s="753"/>
    </row>
    <row r="20" spans="1:6" ht="15" x14ac:dyDescent="0.2">
      <c r="A20" s="755" t="s">
        <v>1039</v>
      </c>
      <c r="B20" s="753">
        <v>1.4</v>
      </c>
      <c r="C20" s="754" t="s">
        <v>1038</v>
      </c>
      <c r="D20" s="753">
        <v>2.0499999999999998</v>
      </c>
      <c r="E20" s="753">
        <f>B20*D20</f>
        <v>2.8699999999999997</v>
      </c>
      <c r="F20" s="752" t="s">
        <v>1031</v>
      </c>
    </row>
    <row r="21" spans="1:6" ht="15" x14ac:dyDescent="0.2">
      <c r="A21" s="755" t="s">
        <v>1039</v>
      </c>
      <c r="B21" s="753">
        <v>1.4</v>
      </c>
      <c r="C21" s="754" t="s">
        <v>1037</v>
      </c>
      <c r="D21" s="753">
        <v>2.1</v>
      </c>
      <c r="E21" s="753">
        <f>B21*D21</f>
        <v>2.94</v>
      </c>
      <c r="F21" s="752" t="s">
        <v>1031</v>
      </c>
    </row>
    <row r="22" spans="1:6" ht="15" x14ac:dyDescent="0.2">
      <c r="A22" s="755" t="s">
        <v>1039</v>
      </c>
      <c r="B22" s="753">
        <v>1.4</v>
      </c>
      <c r="C22" s="754" t="s">
        <v>1036</v>
      </c>
      <c r="D22" s="753">
        <v>2.2000000000000002</v>
      </c>
      <c r="E22" s="753">
        <f>B22*D22</f>
        <v>3.08</v>
      </c>
      <c r="F22" s="752" t="s">
        <v>1030</v>
      </c>
    </row>
    <row r="23" spans="1:6" ht="15" x14ac:dyDescent="0.2">
      <c r="A23" s="755" t="s">
        <v>1039</v>
      </c>
      <c r="B23" s="753">
        <v>1.4</v>
      </c>
      <c r="C23" s="754" t="s">
        <v>1035</v>
      </c>
      <c r="D23" s="753">
        <v>2.4</v>
      </c>
      <c r="E23" s="753">
        <f>B23*D23</f>
        <v>3.36</v>
      </c>
      <c r="F23" s="752" t="s">
        <v>1029</v>
      </c>
    </row>
    <row r="24" spans="1:6" ht="15" x14ac:dyDescent="0.2">
      <c r="A24" s="755" t="s">
        <v>1039</v>
      </c>
      <c r="B24" s="753">
        <v>1.4</v>
      </c>
      <c r="C24" s="754" t="s">
        <v>1033</v>
      </c>
      <c r="D24" s="753">
        <v>2.8</v>
      </c>
      <c r="E24" s="753">
        <f>B24*D24</f>
        <v>3.9199999999999995</v>
      </c>
      <c r="F24" s="752" t="s">
        <v>1029</v>
      </c>
    </row>
    <row r="25" spans="1:6" ht="15" x14ac:dyDescent="0.2">
      <c r="A25" s="755"/>
      <c r="B25" s="756"/>
      <c r="C25" s="754"/>
      <c r="D25" s="756"/>
      <c r="E25" s="753"/>
      <c r="F25" s="753"/>
    </row>
    <row r="26" spans="1:6" ht="15" x14ac:dyDescent="0.2">
      <c r="A26" s="755" t="s">
        <v>1034</v>
      </c>
      <c r="B26" s="753">
        <v>1.8</v>
      </c>
      <c r="C26" s="754" t="s">
        <v>1038</v>
      </c>
      <c r="D26" s="753">
        <v>2.0499999999999998</v>
      </c>
      <c r="E26" s="753">
        <f>B26*D26</f>
        <v>3.69</v>
      </c>
      <c r="F26" s="752" t="s">
        <v>1030</v>
      </c>
    </row>
    <row r="27" spans="1:6" ht="15" x14ac:dyDescent="0.2">
      <c r="A27" s="755" t="s">
        <v>1034</v>
      </c>
      <c r="B27" s="753">
        <v>1.8</v>
      </c>
      <c r="C27" s="754" t="s">
        <v>1037</v>
      </c>
      <c r="D27" s="753">
        <v>2.1</v>
      </c>
      <c r="E27" s="753">
        <f>B27*D27</f>
        <v>3.7800000000000002</v>
      </c>
      <c r="F27" s="752" t="s">
        <v>1030</v>
      </c>
    </row>
    <row r="28" spans="1:6" ht="15" x14ac:dyDescent="0.2">
      <c r="A28" s="755" t="s">
        <v>1034</v>
      </c>
      <c r="B28" s="753">
        <v>1.8</v>
      </c>
      <c r="C28" s="754" t="s">
        <v>1036</v>
      </c>
      <c r="D28" s="753">
        <v>2.2000000000000002</v>
      </c>
      <c r="E28" s="753">
        <f>B28*D28</f>
        <v>3.9600000000000004</v>
      </c>
      <c r="F28" s="752" t="s">
        <v>1029</v>
      </c>
    </row>
    <row r="29" spans="1:6" ht="15" x14ac:dyDescent="0.2">
      <c r="A29" s="755" t="s">
        <v>1034</v>
      </c>
      <c r="B29" s="753">
        <v>1.8</v>
      </c>
      <c r="C29" s="754" t="s">
        <v>1035</v>
      </c>
      <c r="D29" s="753">
        <v>2.4</v>
      </c>
      <c r="E29" s="753">
        <f>B29*D29</f>
        <v>4.32</v>
      </c>
      <c r="F29" s="752" t="s">
        <v>1029</v>
      </c>
    </row>
    <row r="30" spans="1:6" ht="15.75" thickBot="1" x14ac:dyDescent="0.25">
      <c r="A30" s="751" t="s">
        <v>1034</v>
      </c>
      <c r="B30" s="749">
        <v>1.8</v>
      </c>
      <c r="C30" s="750" t="s">
        <v>1033</v>
      </c>
      <c r="D30" s="749">
        <v>2.8</v>
      </c>
      <c r="E30" s="749">
        <f>B30*D30</f>
        <v>5.04</v>
      </c>
      <c r="F30" s="748" t="s">
        <v>1029</v>
      </c>
    </row>
    <row r="31" spans="1:6" x14ac:dyDescent="0.2">
      <c r="A31" s="747" t="s">
        <v>720</v>
      </c>
    </row>
    <row r="32" spans="1:6" x14ac:dyDescent="0.2">
      <c r="A32" s="747" t="s">
        <v>1032</v>
      </c>
    </row>
    <row r="33" spans="1:1" x14ac:dyDescent="0.2">
      <c r="A33" s="747" t="s">
        <v>1031</v>
      </c>
    </row>
    <row r="34" spans="1:1" x14ac:dyDescent="0.2">
      <c r="A34" s="747" t="s">
        <v>1030</v>
      </c>
    </row>
    <row r="35" spans="1:1" x14ac:dyDescent="0.2">
      <c r="A35" s="747" t="s">
        <v>1029</v>
      </c>
    </row>
  </sheetData>
  <dataValidations count="1">
    <dataValidation type="list" allowBlank="1" showInputMessage="1" showErrorMessage="1" sqref="F2:F6 JB2:JB6 SX2:SX6 ACT2:ACT6 AMP2:AMP6 AWL2:AWL6 BGH2:BGH6 BQD2:BQD6 BZZ2:BZZ6 CJV2:CJV6 CTR2:CTR6 DDN2:DDN6 DNJ2:DNJ6 DXF2:DXF6 EHB2:EHB6 EQX2:EQX6 FAT2:FAT6 FKP2:FKP6 FUL2:FUL6 GEH2:GEH6 GOD2:GOD6 GXZ2:GXZ6 HHV2:HHV6 HRR2:HRR6 IBN2:IBN6 ILJ2:ILJ6 IVF2:IVF6 JFB2:JFB6 JOX2:JOX6 JYT2:JYT6 KIP2:KIP6 KSL2:KSL6 LCH2:LCH6 LMD2:LMD6 LVZ2:LVZ6 MFV2:MFV6 MPR2:MPR6 MZN2:MZN6 NJJ2:NJJ6 NTF2:NTF6 ODB2:ODB6 OMX2:OMX6 OWT2:OWT6 PGP2:PGP6 PQL2:PQL6 QAH2:QAH6 QKD2:QKD6 QTZ2:QTZ6 RDV2:RDV6 RNR2:RNR6 RXN2:RXN6 SHJ2:SHJ6 SRF2:SRF6 TBB2:TBB6 TKX2:TKX6 TUT2:TUT6 UEP2:UEP6 UOL2:UOL6 UYH2:UYH6 VID2:VID6 VRZ2:VRZ6 WBV2:WBV6 WLR2:WLR6 WVN2:WVN6 F65538:F65542 JB65538:JB65542 SX65538:SX65542 ACT65538:ACT65542 AMP65538:AMP65542 AWL65538:AWL65542 BGH65538:BGH65542 BQD65538:BQD65542 BZZ65538:BZZ65542 CJV65538:CJV65542 CTR65538:CTR65542 DDN65538:DDN65542 DNJ65538:DNJ65542 DXF65538:DXF65542 EHB65538:EHB65542 EQX65538:EQX65542 FAT65538:FAT65542 FKP65538:FKP65542 FUL65538:FUL65542 GEH65538:GEH65542 GOD65538:GOD65542 GXZ65538:GXZ65542 HHV65538:HHV65542 HRR65538:HRR65542 IBN65538:IBN65542 ILJ65538:ILJ65542 IVF65538:IVF65542 JFB65538:JFB65542 JOX65538:JOX65542 JYT65538:JYT65542 KIP65538:KIP65542 KSL65538:KSL65542 LCH65538:LCH65542 LMD65538:LMD65542 LVZ65538:LVZ65542 MFV65538:MFV65542 MPR65538:MPR65542 MZN65538:MZN65542 NJJ65538:NJJ65542 NTF65538:NTF65542 ODB65538:ODB65542 OMX65538:OMX65542 OWT65538:OWT65542 PGP65538:PGP65542 PQL65538:PQL65542 QAH65538:QAH65542 QKD65538:QKD65542 QTZ65538:QTZ65542 RDV65538:RDV65542 RNR65538:RNR65542 RXN65538:RXN65542 SHJ65538:SHJ65542 SRF65538:SRF65542 TBB65538:TBB65542 TKX65538:TKX65542 TUT65538:TUT65542 UEP65538:UEP65542 UOL65538:UOL65542 UYH65538:UYH65542 VID65538:VID65542 VRZ65538:VRZ65542 WBV65538:WBV65542 WLR65538:WLR65542 WVN65538:WVN65542 F131074:F131078 JB131074:JB131078 SX131074:SX131078 ACT131074:ACT131078 AMP131074:AMP131078 AWL131074:AWL131078 BGH131074:BGH131078 BQD131074:BQD131078 BZZ131074:BZZ131078 CJV131074:CJV131078 CTR131074:CTR131078 DDN131074:DDN131078 DNJ131074:DNJ131078 DXF131074:DXF131078 EHB131074:EHB131078 EQX131074:EQX131078 FAT131074:FAT131078 FKP131074:FKP131078 FUL131074:FUL131078 GEH131074:GEH131078 GOD131074:GOD131078 GXZ131074:GXZ131078 HHV131074:HHV131078 HRR131074:HRR131078 IBN131074:IBN131078 ILJ131074:ILJ131078 IVF131074:IVF131078 JFB131074:JFB131078 JOX131074:JOX131078 JYT131074:JYT131078 KIP131074:KIP131078 KSL131074:KSL131078 LCH131074:LCH131078 LMD131074:LMD131078 LVZ131074:LVZ131078 MFV131074:MFV131078 MPR131074:MPR131078 MZN131074:MZN131078 NJJ131074:NJJ131078 NTF131074:NTF131078 ODB131074:ODB131078 OMX131074:OMX131078 OWT131074:OWT131078 PGP131074:PGP131078 PQL131074:PQL131078 QAH131074:QAH131078 QKD131074:QKD131078 QTZ131074:QTZ131078 RDV131074:RDV131078 RNR131074:RNR131078 RXN131074:RXN131078 SHJ131074:SHJ131078 SRF131074:SRF131078 TBB131074:TBB131078 TKX131074:TKX131078 TUT131074:TUT131078 UEP131074:UEP131078 UOL131074:UOL131078 UYH131074:UYH131078 VID131074:VID131078 VRZ131074:VRZ131078 WBV131074:WBV131078 WLR131074:WLR131078 WVN131074:WVN131078 F196610:F196614 JB196610:JB196614 SX196610:SX196614 ACT196610:ACT196614 AMP196610:AMP196614 AWL196610:AWL196614 BGH196610:BGH196614 BQD196610:BQD196614 BZZ196610:BZZ196614 CJV196610:CJV196614 CTR196610:CTR196614 DDN196610:DDN196614 DNJ196610:DNJ196614 DXF196610:DXF196614 EHB196610:EHB196614 EQX196610:EQX196614 FAT196610:FAT196614 FKP196610:FKP196614 FUL196610:FUL196614 GEH196610:GEH196614 GOD196610:GOD196614 GXZ196610:GXZ196614 HHV196610:HHV196614 HRR196610:HRR196614 IBN196610:IBN196614 ILJ196610:ILJ196614 IVF196610:IVF196614 JFB196610:JFB196614 JOX196610:JOX196614 JYT196610:JYT196614 KIP196610:KIP196614 KSL196610:KSL196614 LCH196610:LCH196614 LMD196610:LMD196614 LVZ196610:LVZ196614 MFV196610:MFV196614 MPR196610:MPR196614 MZN196610:MZN196614 NJJ196610:NJJ196614 NTF196610:NTF196614 ODB196610:ODB196614 OMX196610:OMX196614 OWT196610:OWT196614 PGP196610:PGP196614 PQL196610:PQL196614 QAH196610:QAH196614 QKD196610:QKD196614 QTZ196610:QTZ196614 RDV196610:RDV196614 RNR196610:RNR196614 RXN196610:RXN196614 SHJ196610:SHJ196614 SRF196610:SRF196614 TBB196610:TBB196614 TKX196610:TKX196614 TUT196610:TUT196614 UEP196610:UEP196614 UOL196610:UOL196614 UYH196610:UYH196614 VID196610:VID196614 VRZ196610:VRZ196614 WBV196610:WBV196614 WLR196610:WLR196614 WVN196610:WVN196614 F262146:F262150 JB262146:JB262150 SX262146:SX262150 ACT262146:ACT262150 AMP262146:AMP262150 AWL262146:AWL262150 BGH262146:BGH262150 BQD262146:BQD262150 BZZ262146:BZZ262150 CJV262146:CJV262150 CTR262146:CTR262150 DDN262146:DDN262150 DNJ262146:DNJ262150 DXF262146:DXF262150 EHB262146:EHB262150 EQX262146:EQX262150 FAT262146:FAT262150 FKP262146:FKP262150 FUL262146:FUL262150 GEH262146:GEH262150 GOD262146:GOD262150 GXZ262146:GXZ262150 HHV262146:HHV262150 HRR262146:HRR262150 IBN262146:IBN262150 ILJ262146:ILJ262150 IVF262146:IVF262150 JFB262146:JFB262150 JOX262146:JOX262150 JYT262146:JYT262150 KIP262146:KIP262150 KSL262146:KSL262150 LCH262146:LCH262150 LMD262146:LMD262150 LVZ262146:LVZ262150 MFV262146:MFV262150 MPR262146:MPR262150 MZN262146:MZN262150 NJJ262146:NJJ262150 NTF262146:NTF262150 ODB262146:ODB262150 OMX262146:OMX262150 OWT262146:OWT262150 PGP262146:PGP262150 PQL262146:PQL262150 QAH262146:QAH262150 QKD262146:QKD262150 QTZ262146:QTZ262150 RDV262146:RDV262150 RNR262146:RNR262150 RXN262146:RXN262150 SHJ262146:SHJ262150 SRF262146:SRF262150 TBB262146:TBB262150 TKX262146:TKX262150 TUT262146:TUT262150 UEP262146:UEP262150 UOL262146:UOL262150 UYH262146:UYH262150 VID262146:VID262150 VRZ262146:VRZ262150 WBV262146:WBV262150 WLR262146:WLR262150 WVN262146:WVN262150 F327682:F327686 JB327682:JB327686 SX327682:SX327686 ACT327682:ACT327686 AMP327682:AMP327686 AWL327682:AWL327686 BGH327682:BGH327686 BQD327682:BQD327686 BZZ327682:BZZ327686 CJV327682:CJV327686 CTR327682:CTR327686 DDN327682:DDN327686 DNJ327682:DNJ327686 DXF327682:DXF327686 EHB327682:EHB327686 EQX327682:EQX327686 FAT327682:FAT327686 FKP327682:FKP327686 FUL327682:FUL327686 GEH327682:GEH327686 GOD327682:GOD327686 GXZ327682:GXZ327686 HHV327682:HHV327686 HRR327682:HRR327686 IBN327682:IBN327686 ILJ327682:ILJ327686 IVF327682:IVF327686 JFB327682:JFB327686 JOX327682:JOX327686 JYT327682:JYT327686 KIP327682:KIP327686 KSL327682:KSL327686 LCH327682:LCH327686 LMD327682:LMD327686 LVZ327682:LVZ327686 MFV327682:MFV327686 MPR327682:MPR327686 MZN327682:MZN327686 NJJ327682:NJJ327686 NTF327682:NTF327686 ODB327682:ODB327686 OMX327682:OMX327686 OWT327682:OWT327686 PGP327682:PGP327686 PQL327682:PQL327686 QAH327682:QAH327686 QKD327682:QKD327686 QTZ327682:QTZ327686 RDV327682:RDV327686 RNR327682:RNR327686 RXN327682:RXN327686 SHJ327682:SHJ327686 SRF327682:SRF327686 TBB327682:TBB327686 TKX327682:TKX327686 TUT327682:TUT327686 UEP327682:UEP327686 UOL327682:UOL327686 UYH327682:UYH327686 VID327682:VID327686 VRZ327682:VRZ327686 WBV327682:WBV327686 WLR327682:WLR327686 WVN327682:WVN327686 F393218:F393222 JB393218:JB393222 SX393218:SX393222 ACT393218:ACT393222 AMP393218:AMP393222 AWL393218:AWL393222 BGH393218:BGH393222 BQD393218:BQD393222 BZZ393218:BZZ393222 CJV393218:CJV393222 CTR393218:CTR393222 DDN393218:DDN393222 DNJ393218:DNJ393222 DXF393218:DXF393222 EHB393218:EHB393222 EQX393218:EQX393222 FAT393218:FAT393222 FKP393218:FKP393222 FUL393218:FUL393222 GEH393218:GEH393222 GOD393218:GOD393222 GXZ393218:GXZ393222 HHV393218:HHV393222 HRR393218:HRR393222 IBN393218:IBN393222 ILJ393218:ILJ393222 IVF393218:IVF393222 JFB393218:JFB393222 JOX393218:JOX393222 JYT393218:JYT393222 KIP393218:KIP393222 KSL393218:KSL393222 LCH393218:LCH393222 LMD393218:LMD393222 LVZ393218:LVZ393222 MFV393218:MFV393222 MPR393218:MPR393222 MZN393218:MZN393222 NJJ393218:NJJ393222 NTF393218:NTF393222 ODB393218:ODB393222 OMX393218:OMX393222 OWT393218:OWT393222 PGP393218:PGP393222 PQL393218:PQL393222 QAH393218:QAH393222 QKD393218:QKD393222 QTZ393218:QTZ393222 RDV393218:RDV393222 RNR393218:RNR393222 RXN393218:RXN393222 SHJ393218:SHJ393222 SRF393218:SRF393222 TBB393218:TBB393222 TKX393218:TKX393222 TUT393218:TUT393222 UEP393218:UEP393222 UOL393218:UOL393222 UYH393218:UYH393222 VID393218:VID393222 VRZ393218:VRZ393222 WBV393218:WBV393222 WLR393218:WLR393222 WVN393218:WVN393222 F458754:F458758 JB458754:JB458758 SX458754:SX458758 ACT458754:ACT458758 AMP458754:AMP458758 AWL458754:AWL458758 BGH458754:BGH458758 BQD458754:BQD458758 BZZ458754:BZZ458758 CJV458754:CJV458758 CTR458754:CTR458758 DDN458754:DDN458758 DNJ458754:DNJ458758 DXF458754:DXF458758 EHB458754:EHB458758 EQX458754:EQX458758 FAT458754:FAT458758 FKP458754:FKP458758 FUL458754:FUL458758 GEH458754:GEH458758 GOD458754:GOD458758 GXZ458754:GXZ458758 HHV458754:HHV458758 HRR458754:HRR458758 IBN458754:IBN458758 ILJ458754:ILJ458758 IVF458754:IVF458758 JFB458754:JFB458758 JOX458754:JOX458758 JYT458754:JYT458758 KIP458754:KIP458758 KSL458754:KSL458758 LCH458754:LCH458758 LMD458754:LMD458758 LVZ458754:LVZ458758 MFV458754:MFV458758 MPR458754:MPR458758 MZN458754:MZN458758 NJJ458754:NJJ458758 NTF458754:NTF458758 ODB458754:ODB458758 OMX458754:OMX458758 OWT458754:OWT458758 PGP458754:PGP458758 PQL458754:PQL458758 QAH458754:QAH458758 QKD458754:QKD458758 QTZ458754:QTZ458758 RDV458754:RDV458758 RNR458754:RNR458758 RXN458754:RXN458758 SHJ458754:SHJ458758 SRF458754:SRF458758 TBB458754:TBB458758 TKX458754:TKX458758 TUT458754:TUT458758 UEP458754:UEP458758 UOL458754:UOL458758 UYH458754:UYH458758 VID458754:VID458758 VRZ458754:VRZ458758 WBV458754:WBV458758 WLR458754:WLR458758 WVN458754:WVN458758 F524290:F524294 JB524290:JB524294 SX524290:SX524294 ACT524290:ACT524294 AMP524290:AMP524294 AWL524290:AWL524294 BGH524290:BGH524294 BQD524290:BQD524294 BZZ524290:BZZ524294 CJV524290:CJV524294 CTR524290:CTR524294 DDN524290:DDN524294 DNJ524290:DNJ524294 DXF524290:DXF524294 EHB524290:EHB524294 EQX524290:EQX524294 FAT524290:FAT524294 FKP524290:FKP524294 FUL524290:FUL524294 GEH524290:GEH524294 GOD524290:GOD524294 GXZ524290:GXZ524294 HHV524290:HHV524294 HRR524290:HRR524294 IBN524290:IBN524294 ILJ524290:ILJ524294 IVF524290:IVF524294 JFB524290:JFB524294 JOX524290:JOX524294 JYT524290:JYT524294 KIP524290:KIP524294 KSL524290:KSL524294 LCH524290:LCH524294 LMD524290:LMD524294 LVZ524290:LVZ524294 MFV524290:MFV524294 MPR524290:MPR524294 MZN524290:MZN524294 NJJ524290:NJJ524294 NTF524290:NTF524294 ODB524290:ODB524294 OMX524290:OMX524294 OWT524290:OWT524294 PGP524290:PGP524294 PQL524290:PQL524294 QAH524290:QAH524294 QKD524290:QKD524294 QTZ524290:QTZ524294 RDV524290:RDV524294 RNR524290:RNR524294 RXN524290:RXN524294 SHJ524290:SHJ524294 SRF524290:SRF524294 TBB524290:TBB524294 TKX524290:TKX524294 TUT524290:TUT524294 UEP524290:UEP524294 UOL524290:UOL524294 UYH524290:UYH524294 VID524290:VID524294 VRZ524290:VRZ524294 WBV524290:WBV524294 WLR524290:WLR524294 WVN524290:WVN524294 F589826:F589830 JB589826:JB589830 SX589826:SX589830 ACT589826:ACT589830 AMP589826:AMP589830 AWL589826:AWL589830 BGH589826:BGH589830 BQD589826:BQD589830 BZZ589826:BZZ589830 CJV589826:CJV589830 CTR589826:CTR589830 DDN589826:DDN589830 DNJ589826:DNJ589830 DXF589826:DXF589830 EHB589826:EHB589830 EQX589826:EQX589830 FAT589826:FAT589830 FKP589826:FKP589830 FUL589826:FUL589830 GEH589826:GEH589830 GOD589826:GOD589830 GXZ589826:GXZ589830 HHV589826:HHV589830 HRR589826:HRR589830 IBN589826:IBN589830 ILJ589826:ILJ589830 IVF589826:IVF589830 JFB589826:JFB589830 JOX589826:JOX589830 JYT589826:JYT589830 KIP589826:KIP589830 KSL589826:KSL589830 LCH589826:LCH589830 LMD589826:LMD589830 LVZ589826:LVZ589830 MFV589826:MFV589830 MPR589826:MPR589830 MZN589826:MZN589830 NJJ589826:NJJ589830 NTF589826:NTF589830 ODB589826:ODB589830 OMX589826:OMX589830 OWT589826:OWT589830 PGP589826:PGP589830 PQL589826:PQL589830 QAH589826:QAH589830 QKD589826:QKD589830 QTZ589826:QTZ589830 RDV589826:RDV589830 RNR589826:RNR589830 RXN589826:RXN589830 SHJ589826:SHJ589830 SRF589826:SRF589830 TBB589826:TBB589830 TKX589826:TKX589830 TUT589826:TUT589830 UEP589826:UEP589830 UOL589826:UOL589830 UYH589826:UYH589830 VID589826:VID589830 VRZ589826:VRZ589830 WBV589826:WBV589830 WLR589826:WLR589830 WVN589826:WVN589830 F655362:F655366 JB655362:JB655366 SX655362:SX655366 ACT655362:ACT655366 AMP655362:AMP655366 AWL655362:AWL655366 BGH655362:BGH655366 BQD655362:BQD655366 BZZ655362:BZZ655366 CJV655362:CJV655366 CTR655362:CTR655366 DDN655362:DDN655366 DNJ655362:DNJ655366 DXF655362:DXF655366 EHB655362:EHB655366 EQX655362:EQX655366 FAT655362:FAT655366 FKP655362:FKP655366 FUL655362:FUL655366 GEH655362:GEH655366 GOD655362:GOD655366 GXZ655362:GXZ655366 HHV655362:HHV655366 HRR655362:HRR655366 IBN655362:IBN655366 ILJ655362:ILJ655366 IVF655362:IVF655366 JFB655362:JFB655366 JOX655362:JOX655366 JYT655362:JYT655366 KIP655362:KIP655366 KSL655362:KSL655366 LCH655362:LCH655366 LMD655362:LMD655366 LVZ655362:LVZ655366 MFV655362:MFV655366 MPR655362:MPR655366 MZN655362:MZN655366 NJJ655362:NJJ655366 NTF655362:NTF655366 ODB655362:ODB655366 OMX655362:OMX655366 OWT655362:OWT655366 PGP655362:PGP655366 PQL655362:PQL655366 QAH655362:QAH655366 QKD655362:QKD655366 QTZ655362:QTZ655366 RDV655362:RDV655366 RNR655362:RNR655366 RXN655362:RXN655366 SHJ655362:SHJ655366 SRF655362:SRF655366 TBB655362:TBB655366 TKX655362:TKX655366 TUT655362:TUT655366 UEP655362:UEP655366 UOL655362:UOL655366 UYH655362:UYH655366 VID655362:VID655366 VRZ655362:VRZ655366 WBV655362:WBV655366 WLR655362:WLR655366 WVN655362:WVN655366 F720898:F720902 JB720898:JB720902 SX720898:SX720902 ACT720898:ACT720902 AMP720898:AMP720902 AWL720898:AWL720902 BGH720898:BGH720902 BQD720898:BQD720902 BZZ720898:BZZ720902 CJV720898:CJV720902 CTR720898:CTR720902 DDN720898:DDN720902 DNJ720898:DNJ720902 DXF720898:DXF720902 EHB720898:EHB720902 EQX720898:EQX720902 FAT720898:FAT720902 FKP720898:FKP720902 FUL720898:FUL720902 GEH720898:GEH720902 GOD720898:GOD720902 GXZ720898:GXZ720902 HHV720898:HHV720902 HRR720898:HRR720902 IBN720898:IBN720902 ILJ720898:ILJ720902 IVF720898:IVF720902 JFB720898:JFB720902 JOX720898:JOX720902 JYT720898:JYT720902 KIP720898:KIP720902 KSL720898:KSL720902 LCH720898:LCH720902 LMD720898:LMD720902 LVZ720898:LVZ720902 MFV720898:MFV720902 MPR720898:MPR720902 MZN720898:MZN720902 NJJ720898:NJJ720902 NTF720898:NTF720902 ODB720898:ODB720902 OMX720898:OMX720902 OWT720898:OWT720902 PGP720898:PGP720902 PQL720898:PQL720902 QAH720898:QAH720902 QKD720898:QKD720902 QTZ720898:QTZ720902 RDV720898:RDV720902 RNR720898:RNR720902 RXN720898:RXN720902 SHJ720898:SHJ720902 SRF720898:SRF720902 TBB720898:TBB720902 TKX720898:TKX720902 TUT720898:TUT720902 UEP720898:UEP720902 UOL720898:UOL720902 UYH720898:UYH720902 VID720898:VID720902 VRZ720898:VRZ720902 WBV720898:WBV720902 WLR720898:WLR720902 WVN720898:WVN720902 F786434:F786438 JB786434:JB786438 SX786434:SX786438 ACT786434:ACT786438 AMP786434:AMP786438 AWL786434:AWL786438 BGH786434:BGH786438 BQD786434:BQD786438 BZZ786434:BZZ786438 CJV786434:CJV786438 CTR786434:CTR786438 DDN786434:DDN786438 DNJ786434:DNJ786438 DXF786434:DXF786438 EHB786434:EHB786438 EQX786434:EQX786438 FAT786434:FAT786438 FKP786434:FKP786438 FUL786434:FUL786438 GEH786434:GEH786438 GOD786434:GOD786438 GXZ786434:GXZ786438 HHV786434:HHV786438 HRR786434:HRR786438 IBN786434:IBN786438 ILJ786434:ILJ786438 IVF786434:IVF786438 JFB786434:JFB786438 JOX786434:JOX786438 JYT786434:JYT786438 KIP786434:KIP786438 KSL786434:KSL786438 LCH786434:LCH786438 LMD786434:LMD786438 LVZ786434:LVZ786438 MFV786434:MFV786438 MPR786434:MPR786438 MZN786434:MZN786438 NJJ786434:NJJ786438 NTF786434:NTF786438 ODB786434:ODB786438 OMX786434:OMX786438 OWT786434:OWT786438 PGP786434:PGP786438 PQL786434:PQL786438 QAH786434:QAH786438 QKD786434:QKD786438 QTZ786434:QTZ786438 RDV786434:RDV786438 RNR786434:RNR786438 RXN786434:RXN786438 SHJ786434:SHJ786438 SRF786434:SRF786438 TBB786434:TBB786438 TKX786434:TKX786438 TUT786434:TUT786438 UEP786434:UEP786438 UOL786434:UOL786438 UYH786434:UYH786438 VID786434:VID786438 VRZ786434:VRZ786438 WBV786434:WBV786438 WLR786434:WLR786438 WVN786434:WVN786438 F851970:F851974 JB851970:JB851974 SX851970:SX851974 ACT851970:ACT851974 AMP851970:AMP851974 AWL851970:AWL851974 BGH851970:BGH851974 BQD851970:BQD851974 BZZ851970:BZZ851974 CJV851970:CJV851974 CTR851970:CTR851974 DDN851970:DDN851974 DNJ851970:DNJ851974 DXF851970:DXF851974 EHB851970:EHB851974 EQX851970:EQX851974 FAT851970:FAT851974 FKP851970:FKP851974 FUL851970:FUL851974 GEH851970:GEH851974 GOD851970:GOD851974 GXZ851970:GXZ851974 HHV851970:HHV851974 HRR851970:HRR851974 IBN851970:IBN851974 ILJ851970:ILJ851974 IVF851970:IVF851974 JFB851970:JFB851974 JOX851970:JOX851974 JYT851970:JYT851974 KIP851970:KIP851974 KSL851970:KSL851974 LCH851970:LCH851974 LMD851970:LMD851974 LVZ851970:LVZ851974 MFV851970:MFV851974 MPR851970:MPR851974 MZN851970:MZN851974 NJJ851970:NJJ851974 NTF851970:NTF851974 ODB851970:ODB851974 OMX851970:OMX851974 OWT851970:OWT851974 PGP851970:PGP851974 PQL851970:PQL851974 QAH851970:QAH851974 QKD851970:QKD851974 QTZ851970:QTZ851974 RDV851970:RDV851974 RNR851970:RNR851974 RXN851970:RXN851974 SHJ851970:SHJ851974 SRF851970:SRF851974 TBB851970:TBB851974 TKX851970:TKX851974 TUT851970:TUT851974 UEP851970:UEP851974 UOL851970:UOL851974 UYH851970:UYH851974 VID851970:VID851974 VRZ851970:VRZ851974 WBV851970:WBV851974 WLR851970:WLR851974 WVN851970:WVN851974 F917506:F917510 JB917506:JB917510 SX917506:SX917510 ACT917506:ACT917510 AMP917506:AMP917510 AWL917506:AWL917510 BGH917506:BGH917510 BQD917506:BQD917510 BZZ917506:BZZ917510 CJV917506:CJV917510 CTR917506:CTR917510 DDN917506:DDN917510 DNJ917506:DNJ917510 DXF917506:DXF917510 EHB917506:EHB917510 EQX917506:EQX917510 FAT917506:FAT917510 FKP917506:FKP917510 FUL917506:FUL917510 GEH917506:GEH917510 GOD917506:GOD917510 GXZ917506:GXZ917510 HHV917506:HHV917510 HRR917506:HRR917510 IBN917506:IBN917510 ILJ917506:ILJ917510 IVF917506:IVF917510 JFB917506:JFB917510 JOX917506:JOX917510 JYT917506:JYT917510 KIP917506:KIP917510 KSL917506:KSL917510 LCH917506:LCH917510 LMD917506:LMD917510 LVZ917506:LVZ917510 MFV917506:MFV917510 MPR917506:MPR917510 MZN917506:MZN917510 NJJ917506:NJJ917510 NTF917506:NTF917510 ODB917506:ODB917510 OMX917506:OMX917510 OWT917506:OWT917510 PGP917506:PGP917510 PQL917506:PQL917510 QAH917506:QAH917510 QKD917506:QKD917510 QTZ917506:QTZ917510 RDV917506:RDV917510 RNR917506:RNR917510 RXN917506:RXN917510 SHJ917506:SHJ917510 SRF917506:SRF917510 TBB917506:TBB917510 TKX917506:TKX917510 TUT917506:TUT917510 UEP917506:UEP917510 UOL917506:UOL917510 UYH917506:UYH917510 VID917506:VID917510 VRZ917506:VRZ917510 WBV917506:WBV917510 WLR917506:WLR917510 WVN917506:WVN917510 F983042:F983046 JB983042:JB983046 SX983042:SX983046 ACT983042:ACT983046 AMP983042:AMP983046 AWL983042:AWL983046 BGH983042:BGH983046 BQD983042:BQD983046 BZZ983042:BZZ983046 CJV983042:CJV983046 CTR983042:CTR983046 DDN983042:DDN983046 DNJ983042:DNJ983046 DXF983042:DXF983046 EHB983042:EHB983046 EQX983042:EQX983046 FAT983042:FAT983046 FKP983042:FKP983046 FUL983042:FUL983046 GEH983042:GEH983046 GOD983042:GOD983046 GXZ983042:GXZ983046 HHV983042:HHV983046 HRR983042:HRR983046 IBN983042:IBN983046 ILJ983042:ILJ983046 IVF983042:IVF983046 JFB983042:JFB983046 JOX983042:JOX983046 JYT983042:JYT983046 KIP983042:KIP983046 KSL983042:KSL983046 LCH983042:LCH983046 LMD983042:LMD983046 LVZ983042:LVZ983046 MFV983042:MFV983046 MPR983042:MPR983046 MZN983042:MZN983046 NJJ983042:NJJ983046 NTF983042:NTF983046 ODB983042:ODB983046 OMX983042:OMX983046 OWT983042:OWT983046 PGP983042:PGP983046 PQL983042:PQL983046 QAH983042:QAH983046 QKD983042:QKD983046 QTZ983042:QTZ983046 RDV983042:RDV983046 RNR983042:RNR983046 RXN983042:RXN983046 SHJ983042:SHJ983046 SRF983042:SRF983046 TBB983042:TBB983046 TKX983042:TKX983046 TUT983042:TUT983046 UEP983042:UEP983046 UOL983042:UOL983046 UYH983042:UYH983046 VID983042:VID983046 VRZ983042:VRZ983046 WBV983042:WBV983046 WLR983042:WLR983046 WVN983042:WVN983046 F8:F30 JB8:JB30 SX8:SX30 ACT8:ACT30 AMP8:AMP30 AWL8:AWL30 BGH8:BGH30 BQD8:BQD30 BZZ8:BZZ30 CJV8:CJV30 CTR8:CTR30 DDN8:DDN30 DNJ8:DNJ30 DXF8:DXF30 EHB8:EHB30 EQX8:EQX30 FAT8:FAT30 FKP8:FKP30 FUL8:FUL30 GEH8:GEH30 GOD8:GOD30 GXZ8:GXZ30 HHV8:HHV30 HRR8:HRR30 IBN8:IBN30 ILJ8:ILJ30 IVF8:IVF30 JFB8:JFB30 JOX8:JOX30 JYT8:JYT30 KIP8:KIP30 KSL8:KSL30 LCH8:LCH30 LMD8:LMD30 LVZ8:LVZ30 MFV8:MFV30 MPR8:MPR30 MZN8:MZN30 NJJ8:NJJ30 NTF8:NTF30 ODB8:ODB30 OMX8:OMX30 OWT8:OWT30 PGP8:PGP30 PQL8:PQL30 QAH8:QAH30 QKD8:QKD30 QTZ8:QTZ30 RDV8:RDV30 RNR8:RNR30 RXN8:RXN30 SHJ8:SHJ30 SRF8:SRF30 TBB8:TBB30 TKX8:TKX30 TUT8:TUT30 UEP8:UEP30 UOL8:UOL30 UYH8:UYH30 VID8:VID30 VRZ8:VRZ30 WBV8:WBV30 WLR8:WLR30 WVN8:WVN30 F65544:F65566 JB65544:JB65566 SX65544:SX65566 ACT65544:ACT65566 AMP65544:AMP65566 AWL65544:AWL65566 BGH65544:BGH65566 BQD65544:BQD65566 BZZ65544:BZZ65566 CJV65544:CJV65566 CTR65544:CTR65566 DDN65544:DDN65566 DNJ65544:DNJ65566 DXF65544:DXF65566 EHB65544:EHB65566 EQX65544:EQX65566 FAT65544:FAT65566 FKP65544:FKP65566 FUL65544:FUL65566 GEH65544:GEH65566 GOD65544:GOD65566 GXZ65544:GXZ65566 HHV65544:HHV65566 HRR65544:HRR65566 IBN65544:IBN65566 ILJ65544:ILJ65566 IVF65544:IVF65566 JFB65544:JFB65566 JOX65544:JOX65566 JYT65544:JYT65566 KIP65544:KIP65566 KSL65544:KSL65566 LCH65544:LCH65566 LMD65544:LMD65566 LVZ65544:LVZ65566 MFV65544:MFV65566 MPR65544:MPR65566 MZN65544:MZN65566 NJJ65544:NJJ65566 NTF65544:NTF65566 ODB65544:ODB65566 OMX65544:OMX65566 OWT65544:OWT65566 PGP65544:PGP65566 PQL65544:PQL65566 QAH65544:QAH65566 QKD65544:QKD65566 QTZ65544:QTZ65566 RDV65544:RDV65566 RNR65544:RNR65566 RXN65544:RXN65566 SHJ65544:SHJ65566 SRF65544:SRF65566 TBB65544:TBB65566 TKX65544:TKX65566 TUT65544:TUT65566 UEP65544:UEP65566 UOL65544:UOL65566 UYH65544:UYH65566 VID65544:VID65566 VRZ65544:VRZ65566 WBV65544:WBV65566 WLR65544:WLR65566 WVN65544:WVN65566 F131080:F131102 JB131080:JB131102 SX131080:SX131102 ACT131080:ACT131102 AMP131080:AMP131102 AWL131080:AWL131102 BGH131080:BGH131102 BQD131080:BQD131102 BZZ131080:BZZ131102 CJV131080:CJV131102 CTR131080:CTR131102 DDN131080:DDN131102 DNJ131080:DNJ131102 DXF131080:DXF131102 EHB131080:EHB131102 EQX131080:EQX131102 FAT131080:FAT131102 FKP131080:FKP131102 FUL131080:FUL131102 GEH131080:GEH131102 GOD131080:GOD131102 GXZ131080:GXZ131102 HHV131080:HHV131102 HRR131080:HRR131102 IBN131080:IBN131102 ILJ131080:ILJ131102 IVF131080:IVF131102 JFB131080:JFB131102 JOX131080:JOX131102 JYT131080:JYT131102 KIP131080:KIP131102 KSL131080:KSL131102 LCH131080:LCH131102 LMD131080:LMD131102 LVZ131080:LVZ131102 MFV131080:MFV131102 MPR131080:MPR131102 MZN131080:MZN131102 NJJ131080:NJJ131102 NTF131080:NTF131102 ODB131080:ODB131102 OMX131080:OMX131102 OWT131080:OWT131102 PGP131080:PGP131102 PQL131080:PQL131102 QAH131080:QAH131102 QKD131080:QKD131102 QTZ131080:QTZ131102 RDV131080:RDV131102 RNR131080:RNR131102 RXN131080:RXN131102 SHJ131080:SHJ131102 SRF131080:SRF131102 TBB131080:TBB131102 TKX131080:TKX131102 TUT131080:TUT131102 UEP131080:UEP131102 UOL131080:UOL131102 UYH131080:UYH131102 VID131080:VID131102 VRZ131080:VRZ131102 WBV131080:WBV131102 WLR131080:WLR131102 WVN131080:WVN131102 F196616:F196638 JB196616:JB196638 SX196616:SX196638 ACT196616:ACT196638 AMP196616:AMP196638 AWL196616:AWL196638 BGH196616:BGH196638 BQD196616:BQD196638 BZZ196616:BZZ196638 CJV196616:CJV196638 CTR196616:CTR196638 DDN196616:DDN196638 DNJ196616:DNJ196638 DXF196616:DXF196638 EHB196616:EHB196638 EQX196616:EQX196638 FAT196616:FAT196638 FKP196616:FKP196638 FUL196616:FUL196638 GEH196616:GEH196638 GOD196616:GOD196638 GXZ196616:GXZ196638 HHV196616:HHV196638 HRR196616:HRR196638 IBN196616:IBN196638 ILJ196616:ILJ196638 IVF196616:IVF196638 JFB196616:JFB196638 JOX196616:JOX196638 JYT196616:JYT196638 KIP196616:KIP196638 KSL196616:KSL196638 LCH196616:LCH196638 LMD196616:LMD196638 LVZ196616:LVZ196638 MFV196616:MFV196638 MPR196616:MPR196638 MZN196616:MZN196638 NJJ196616:NJJ196638 NTF196616:NTF196638 ODB196616:ODB196638 OMX196616:OMX196638 OWT196616:OWT196638 PGP196616:PGP196638 PQL196616:PQL196638 QAH196616:QAH196638 QKD196616:QKD196638 QTZ196616:QTZ196638 RDV196616:RDV196638 RNR196616:RNR196638 RXN196616:RXN196638 SHJ196616:SHJ196638 SRF196616:SRF196638 TBB196616:TBB196638 TKX196616:TKX196638 TUT196616:TUT196638 UEP196616:UEP196638 UOL196616:UOL196638 UYH196616:UYH196638 VID196616:VID196638 VRZ196616:VRZ196638 WBV196616:WBV196638 WLR196616:WLR196638 WVN196616:WVN196638 F262152:F262174 JB262152:JB262174 SX262152:SX262174 ACT262152:ACT262174 AMP262152:AMP262174 AWL262152:AWL262174 BGH262152:BGH262174 BQD262152:BQD262174 BZZ262152:BZZ262174 CJV262152:CJV262174 CTR262152:CTR262174 DDN262152:DDN262174 DNJ262152:DNJ262174 DXF262152:DXF262174 EHB262152:EHB262174 EQX262152:EQX262174 FAT262152:FAT262174 FKP262152:FKP262174 FUL262152:FUL262174 GEH262152:GEH262174 GOD262152:GOD262174 GXZ262152:GXZ262174 HHV262152:HHV262174 HRR262152:HRR262174 IBN262152:IBN262174 ILJ262152:ILJ262174 IVF262152:IVF262174 JFB262152:JFB262174 JOX262152:JOX262174 JYT262152:JYT262174 KIP262152:KIP262174 KSL262152:KSL262174 LCH262152:LCH262174 LMD262152:LMD262174 LVZ262152:LVZ262174 MFV262152:MFV262174 MPR262152:MPR262174 MZN262152:MZN262174 NJJ262152:NJJ262174 NTF262152:NTF262174 ODB262152:ODB262174 OMX262152:OMX262174 OWT262152:OWT262174 PGP262152:PGP262174 PQL262152:PQL262174 QAH262152:QAH262174 QKD262152:QKD262174 QTZ262152:QTZ262174 RDV262152:RDV262174 RNR262152:RNR262174 RXN262152:RXN262174 SHJ262152:SHJ262174 SRF262152:SRF262174 TBB262152:TBB262174 TKX262152:TKX262174 TUT262152:TUT262174 UEP262152:UEP262174 UOL262152:UOL262174 UYH262152:UYH262174 VID262152:VID262174 VRZ262152:VRZ262174 WBV262152:WBV262174 WLR262152:WLR262174 WVN262152:WVN262174 F327688:F327710 JB327688:JB327710 SX327688:SX327710 ACT327688:ACT327710 AMP327688:AMP327710 AWL327688:AWL327710 BGH327688:BGH327710 BQD327688:BQD327710 BZZ327688:BZZ327710 CJV327688:CJV327710 CTR327688:CTR327710 DDN327688:DDN327710 DNJ327688:DNJ327710 DXF327688:DXF327710 EHB327688:EHB327710 EQX327688:EQX327710 FAT327688:FAT327710 FKP327688:FKP327710 FUL327688:FUL327710 GEH327688:GEH327710 GOD327688:GOD327710 GXZ327688:GXZ327710 HHV327688:HHV327710 HRR327688:HRR327710 IBN327688:IBN327710 ILJ327688:ILJ327710 IVF327688:IVF327710 JFB327688:JFB327710 JOX327688:JOX327710 JYT327688:JYT327710 KIP327688:KIP327710 KSL327688:KSL327710 LCH327688:LCH327710 LMD327688:LMD327710 LVZ327688:LVZ327710 MFV327688:MFV327710 MPR327688:MPR327710 MZN327688:MZN327710 NJJ327688:NJJ327710 NTF327688:NTF327710 ODB327688:ODB327710 OMX327688:OMX327710 OWT327688:OWT327710 PGP327688:PGP327710 PQL327688:PQL327710 QAH327688:QAH327710 QKD327688:QKD327710 QTZ327688:QTZ327710 RDV327688:RDV327710 RNR327688:RNR327710 RXN327688:RXN327710 SHJ327688:SHJ327710 SRF327688:SRF327710 TBB327688:TBB327710 TKX327688:TKX327710 TUT327688:TUT327710 UEP327688:UEP327710 UOL327688:UOL327710 UYH327688:UYH327710 VID327688:VID327710 VRZ327688:VRZ327710 WBV327688:WBV327710 WLR327688:WLR327710 WVN327688:WVN327710 F393224:F393246 JB393224:JB393246 SX393224:SX393246 ACT393224:ACT393246 AMP393224:AMP393246 AWL393224:AWL393246 BGH393224:BGH393246 BQD393224:BQD393246 BZZ393224:BZZ393246 CJV393224:CJV393246 CTR393224:CTR393246 DDN393224:DDN393246 DNJ393224:DNJ393246 DXF393224:DXF393246 EHB393224:EHB393246 EQX393224:EQX393246 FAT393224:FAT393246 FKP393224:FKP393246 FUL393224:FUL393246 GEH393224:GEH393246 GOD393224:GOD393246 GXZ393224:GXZ393246 HHV393224:HHV393246 HRR393224:HRR393246 IBN393224:IBN393246 ILJ393224:ILJ393246 IVF393224:IVF393246 JFB393224:JFB393246 JOX393224:JOX393246 JYT393224:JYT393246 KIP393224:KIP393246 KSL393224:KSL393246 LCH393224:LCH393246 LMD393224:LMD393246 LVZ393224:LVZ393246 MFV393224:MFV393246 MPR393224:MPR393246 MZN393224:MZN393246 NJJ393224:NJJ393246 NTF393224:NTF393246 ODB393224:ODB393246 OMX393224:OMX393246 OWT393224:OWT393246 PGP393224:PGP393246 PQL393224:PQL393246 QAH393224:QAH393246 QKD393224:QKD393246 QTZ393224:QTZ393246 RDV393224:RDV393246 RNR393224:RNR393246 RXN393224:RXN393246 SHJ393224:SHJ393246 SRF393224:SRF393246 TBB393224:TBB393246 TKX393224:TKX393246 TUT393224:TUT393246 UEP393224:UEP393246 UOL393224:UOL393246 UYH393224:UYH393246 VID393224:VID393246 VRZ393224:VRZ393246 WBV393224:WBV393246 WLR393224:WLR393246 WVN393224:WVN393246 F458760:F458782 JB458760:JB458782 SX458760:SX458782 ACT458760:ACT458782 AMP458760:AMP458782 AWL458760:AWL458782 BGH458760:BGH458782 BQD458760:BQD458782 BZZ458760:BZZ458782 CJV458760:CJV458782 CTR458760:CTR458782 DDN458760:DDN458782 DNJ458760:DNJ458782 DXF458760:DXF458782 EHB458760:EHB458782 EQX458760:EQX458782 FAT458760:FAT458782 FKP458760:FKP458782 FUL458760:FUL458782 GEH458760:GEH458782 GOD458760:GOD458782 GXZ458760:GXZ458782 HHV458760:HHV458782 HRR458760:HRR458782 IBN458760:IBN458782 ILJ458760:ILJ458782 IVF458760:IVF458782 JFB458760:JFB458782 JOX458760:JOX458782 JYT458760:JYT458782 KIP458760:KIP458782 KSL458760:KSL458782 LCH458760:LCH458782 LMD458760:LMD458782 LVZ458760:LVZ458782 MFV458760:MFV458782 MPR458760:MPR458782 MZN458760:MZN458782 NJJ458760:NJJ458782 NTF458760:NTF458782 ODB458760:ODB458782 OMX458760:OMX458782 OWT458760:OWT458782 PGP458760:PGP458782 PQL458760:PQL458782 QAH458760:QAH458782 QKD458760:QKD458782 QTZ458760:QTZ458782 RDV458760:RDV458782 RNR458760:RNR458782 RXN458760:RXN458782 SHJ458760:SHJ458782 SRF458760:SRF458782 TBB458760:TBB458782 TKX458760:TKX458782 TUT458760:TUT458782 UEP458760:UEP458782 UOL458760:UOL458782 UYH458760:UYH458782 VID458760:VID458782 VRZ458760:VRZ458782 WBV458760:WBV458782 WLR458760:WLR458782 WVN458760:WVN458782 F524296:F524318 JB524296:JB524318 SX524296:SX524318 ACT524296:ACT524318 AMP524296:AMP524318 AWL524296:AWL524318 BGH524296:BGH524318 BQD524296:BQD524318 BZZ524296:BZZ524318 CJV524296:CJV524318 CTR524296:CTR524318 DDN524296:DDN524318 DNJ524296:DNJ524318 DXF524296:DXF524318 EHB524296:EHB524318 EQX524296:EQX524318 FAT524296:FAT524318 FKP524296:FKP524318 FUL524296:FUL524318 GEH524296:GEH524318 GOD524296:GOD524318 GXZ524296:GXZ524318 HHV524296:HHV524318 HRR524296:HRR524318 IBN524296:IBN524318 ILJ524296:ILJ524318 IVF524296:IVF524318 JFB524296:JFB524318 JOX524296:JOX524318 JYT524296:JYT524318 KIP524296:KIP524318 KSL524296:KSL524318 LCH524296:LCH524318 LMD524296:LMD524318 LVZ524296:LVZ524318 MFV524296:MFV524318 MPR524296:MPR524318 MZN524296:MZN524318 NJJ524296:NJJ524318 NTF524296:NTF524318 ODB524296:ODB524318 OMX524296:OMX524318 OWT524296:OWT524318 PGP524296:PGP524318 PQL524296:PQL524318 QAH524296:QAH524318 QKD524296:QKD524318 QTZ524296:QTZ524318 RDV524296:RDV524318 RNR524296:RNR524318 RXN524296:RXN524318 SHJ524296:SHJ524318 SRF524296:SRF524318 TBB524296:TBB524318 TKX524296:TKX524318 TUT524296:TUT524318 UEP524296:UEP524318 UOL524296:UOL524318 UYH524296:UYH524318 VID524296:VID524318 VRZ524296:VRZ524318 WBV524296:WBV524318 WLR524296:WLR524318 WVN524296:WVN524318 F589832:F589854 JB589832:JB589854 SX589832:SX589854 ACT589832:ACT589854 AMP589832:AMP589854 AWL589832:AWL589854 BGH589832:BGH589854 BQD589832:BQD589854 BZZ589832:BZZ589854 CJV589832:CJV589854 CTR589832:CTR589854 DDN589832:DDN589854 DNJ589832:DNJ589854 DXF589832:DXF589854 EHB589832:EHB589854 EQX589832:EQX589854 FAT589832:FAT589854 FKP589832:FKP589854 FUL589832:FUL589854 GEH589832:GEH589854 GOD589832:GOD589854 GXZ589832:GXZ589854 HHV589832:HHV589854 HRR589832:HRR589854 IBN589832:IBN589854 ILJ589832:ILJ589854 IVF589832:IVF589854 JFB589832:JFB589854 JOX589832:JOX589854 JYT589832:JYT589854 KIP589832:KIP589854 KSL589832:KSL589854 LCH589832:LCH589854 LMD589832:LMD589854 LVZ589832:LVZ589854 MFV589832:MFV589854 MPR589832:MPR589854 MZN589832:MZN589854 NJJ589832:NJJ589854 NTF589832:NTF589854 ODB589832:ODB589854 OMX589832:OMX589854 OWT589832:OWT589854 PGP589832:PGP589854 PQL589832:PQL589854 QAH589832:QAH589854 QKD589832:QKD589854 QTZ589832:QTZ589854 RDV589832:RDV589854 RNR589832:RNR589854 RXN589832:RXN589854 SHJ589832:SHJ589854 SRF589832:SRF589854 TBB589832:TBB589854 TKX589832:TKX589854 TUT589832:TUT589854 UEP589832:UEP589854 UOL589832:UOL589854 UYH589832:UYH589854 VID589832:VID589854 VRZ589832:VRZ589854 WBV589832:WBV589854 WLR589832:WLR589854 WVN589832:WVN589854 F655368:F655390 JB655368:JB655390 SX655368:SX655390 ACT655368:ACT655390 AMP655368:AMP655390 AWL655368:AWL655390 BGH655368:BGH655390 BQD655368:BQD655390 BZZ655368:BZZ655390 CJV655368:CJV655390 CTR655368:CTR655390 DDN655368:DDN655390 DNJ655368:DNJ655390 DXF655368:DXF655390 EHB655368:EHB655390 EQX655368:EQX655390 FAT655368:FAT655390 FKP655368:FKP655390 FUL655368:FUL655390 GEH655368:GEH655390 GOD655368:GOD655390 GXZ655368:GXZ655390 HHV655368:HHV655390 HRR655368:HRR655390 IBN655368:IBN655390 ILJ655368:ILJ655390 IVF655368:IVF655390 JFB655368:JFB655390 JOX655368:JOX655390 JYT655368:JYT655390 KIP655368:KIP655390 KSL655368:KSL655390 LCH655368:LCH655390 LMD655368:LMD655390 LVZ655368:LVZ655390 MFV655368:MFV655390 MPR655368:MPR655390 MZN655368:MZN655390 NJJ655368:NJJ655390 NTF655368:NTF655390 ODB655368:ODB655390 OMX655368:OMX655390 OWT655368:OWT655390 PGP655368:PGP655390 PQL655368:PQL655390 QAH655368:QAH655390 QKD655368:QKD655390 QTZ655368:QTZ655390 RDV655368:RDV655390 RNR655368:RNR655390 RXN655368:RXN655390 SHJ655368:SHJ655390 SRF655368:SRF655390 TBB655368:TBB655390 TKX655368:TKX655390 TUT655368:TUT655390 UEP655368:UEP655390 UOL655368:UOL655390 UYH655368:UYH655390 VID655368:VID655390 VRZ655368:VRZ655390 WBV655368:WBV655390 WLR655368:WLR655390 WVN655368:WVN655390 F720904:F720926 JB720904:JB720926 SX720904:SX720926 ACT720904:ACT720926 AMP720904:AMP720926 AWL720904:AWL720926 BGH720904:BGH720926 BQD720904:BQD720926 BZZ720904:BZZ720926 CJV720904:CJV720926 CTR720904:CTR720926 DDN720904:DDN720926 DNJ720904:DNJ720926 DXF720904:DXF720926 EHB720904:EHB720926 EQX720904:EQX720926 FAT720904:FAT720926 FKP720904:FKP720926 FUL720904:FUL720926 GEH720904:GEH720926 GOD720904:GOD720926 GXZ720904:GXZ720926 HHV720904:HHV720926 HRR720904:HRR720926 IBN720904:IBN720926 ILJ720904:ILJ720926 IVF720904:IVF720926 JFB720904:JFB720926 JOX720904:JOX720926 JYT720904:JYT720926 KIP720904:KIP720926 KSL720904:KSL720926 LCH720904:LCH720926 LMD720904:LMD720926 LVZ720904:LVZ720926 MFV720904:MFV720926 MPR720904:MPR720926 MZN720904:MZN720926 NJJ720904:NJJ720926 NTF720904:NTF720926 ODB720904:ODB720926 OMX720904:OMX720926 OWT720904:OWT720926 PGP720904:PGP720926 PQL720904:PQL720926 QAH720904:QAH720926 QKD720904:QKD720926 QTZ720904:QTZ720926 RDV720904:RDV720926 RNR720904:RNR720926 RXN720904:RXN720926 SHJ720904:SHJ720926 SRF720904:SRF720926 TBB720904:TBB720926 TKX720904:TKX720926 TUT720904:TUT720926 UEP720904:UEP720926 UOL720904:UOL720926 UYH720904:UYH720926 VID720904:VID720926 VRZ720904:VRZ720926 WBV720904:WBV720926 WLR720904:WLR720926 WVN720904:WVN720926 F786440:F786462 JB786440:JB786462 SX786440:SX786462 ACT786440:ACT786462 AMP786440:AMP786462 AWL786440:AWL786462 BGH786440:BGH786462 BQD786440:BQD786462 BZZ786440:BZZ786462 CJV786440:CJV786462 CTR786440:CTR786462 DDN786440:DDN786462 DNJ786440:DNJ786462 DXF786440:DXF786462 EHB786440:EHB786462 EQX786440:EQX786462 FAT786440:FAT786462 FKP786440:FKP786462 FUL786440:FUL786462 GEH786440:GEH786462 GOD786440:GOD786462 GXZ786440:GXZ786462 HHV786440:HHV786462 HRR786440:HRR786462 IBN786440:IBN786462 ILJ786440:ILJ786462 IVF786440:IVF786462 JFB786440:JFB786462 JOX786440:JOX786462 JYT786440:JYT786462 KIP786440:KIP786462 KSL786440:KSL786462 LCH786440:LCH786462 LMD786440:LMD786462 LVZ786440:LVZ786462 MFV786440:MFV786462 MPR786440:MPR786462 MZN786440:MZN786462 NJJ786440:NJJ786462 NTF786440:NTF786462 ODB786440:ODB786462 OMX786440:OMX786462 OWT786440:OWT786462 PGP786440:PGP786462 PQL786440:PQL786462 QAH786440:QAH786462 QKD786440:QKD786462 QTZ786440:QTZ786462 RDV786440:RDV786462 RNR786440:RNR786462 RXN786440:RXN786462 SHJ786440:SHJ786462 SRF786440:SRF786462 TBB786440:TBB786462 TKX786440:TKX786462 TUT786440:TUT786462 UEP786440:UEP786462 UOL786440:UOL786462 UYH786440:UYH786462 VID786440:VID786462 VRZ786440:VRZ786462 WBV786440:WBV786462 WLR786440:WLR786462 WVN786440:WVN786462 F851976:F851998 JB851976:JB851998 SX851976:SX851998 ACT851976:ACT851998 AMP851976:AMP851998 AWL851976:AWL851998 BGH851976:BGH851998 BQD851976:BQD851998 BZZ851976:BZZ851998 CJV851976:CJV851998 CTR851976:CTR851998 DDN851976:DDN851998 DNJ851976:DNJ851998 DXF851976:DXF851998 EHB851976:EHB851998 EQX851976:EQX851998 FAT851976:FAT851998 FKP851976:FKP851998 FUL851976:FUL851998 GEH851976:GEH851998 GOD851976:GOD851998 GXZ851976:GXZ851998 HHV851976:HHV851998 HRR851976:HRR851998 IBN851976:IBN851998 ILJ851976:ILJ851998 IVF851976:IVF851998 JFB851976:JFB851998 JOX851976:JOX851998 JYT851976:JYT851998 KIP851976:KIP851998 KSL851976:KSL851998 LCH851976:LCH851998 LMD851976:LMD851998 LVZ851976:LVZ851998 MFV851976:MFV851998 MPR851976:MPR851998 MZN851976:MZN851998 NJJ851976:NJJ851998 NTF851976:NTF851998 ODB851976:ODB851998 OMX851976:OMX851998 OWT851976:OWT851998 PGP851976:PGP851998 PQL851976:PQL851998 QAH851976:QAH851998 QKD851976:QKD851998 QTZ851976:QTZ851998 RDV851976:RDV851998 RNR851976:RNR851998 RXN851976:RXN851998 SHJ851976:SHJ851998 SRF851976:SRF851998 TBB851976:TBB851998 TKX851976:TKX851998 TUT851976:TUT851998 UEP851976:UEP851998 UOL851976:UOL851998 UYH851976:UYH851998 VID851976:VID851998 VRZ851976:VRZ851998 WBV851976:WBV851998 WLR851976:WLR851998 WVN851976:WVN851998 F917512:F917534 JB917512:JB917534 SX917512:SX917534 ACT917512:ACT917534 AMP917512:AMP917534 AWL917512:AWL917534 BGH917512:BGH917534 BQD917512:BQD917534 BZZ917512:BZZ917534 CJV917512:CJV917534 CTR917512:CTR917534 DDN917512:DDN917534 DNJ917512:DNJ917534 DXF917512:DXF917534 EHB917512:EHB917534 EQX917512:EQX917534 FAT917512:FAT917534 FKP917512:FKP917534 FUL917512:FUL917534 GEH917512:GEH917534 GOD917512:GOD917534 GXZ917512:GXZ917534 HHV917512:HHV917534 HRR917512:HRR917534 IBN917512:IBN917534 ILJ917512:ILJ917534 IVF917512:IVF917534 JFB917512:JFB917534 JOX917512:JOX917534 JYT917512:JYT917534 KIP917512:KIP917534 KSL917512:KSL917534 LCH917512:LCH917534 LMD917512:LMD917534 LVZ917512:LVZ917534 MFV917512:MFV917534 MPR917512:MPR917534 MZN917512:MZN917534 NJJ917512:NJJ917534 NTF917512:NTF917534 ODB917512:ODB917534 OMX917512:OMX917534 OWT917512:OWT917534 PGP917512:PGP917534 PQL917512:PQL917534 QAH917512:QAH917534 QKD917512:QKD917534 QTZ917512:QTZ917534 RDV917512:RDV917534 RNR917512:RNR917534 RXN917512:RXN917534 SHJ917512:SHJ917534 SRF917512:SRF917534 TBB917512:TBB917534 TKX917512:TKX917534 TUT917512:TUT917534 UEP917512:UEP917534 UOL917512:UOL917534 UYH917512:UYH917534 VID917512:VID917534 VRZ917512:VRZ917534 WBV917512:WBV917534 WLR917512:WLR917534 WVN917512:WVN917534 F983048:F983070 JB983048:JB983070 SX983048:SX983070 ACT983048:ACT983070 AMP983048:AMP983070 AWL983048:AWL983070 BGH983048:BGH983070 BQD983048:BQD983070 BZZ983048:BZZ983070 CJV983048:CJV983070 CTR983048:CTR983070 DDN983048:DDN983070 DNJ983048:DNJ983070 DXF983048:DXF983070 EHB983048:EHB983070 EQX983048:EQX983070 FAT983048:FAT983070 FKP983048:FKP983070 FUL983048:FUL983070 GEH983048:GEH983070 GOD983048:GOD983070 GXZ983048:GXZ983070 HHV983048:HHV983070 HRR983048:HRR983070 IBN983048:IBN983070 ILJ983048:ILJ983070 IVF983048:IVF983070 JFB983048:JFB983070 JOX983048:JOX983070 JYT983048:JYT983070 KIP983048:KIP983070 KSL983048:KSL983070 LCH983048:LCH983070 LMD983048:LMD983070 LVZ983048:LVZ983070 MFV983048:MFV983070 MPR983048:MPR983070 MZN983048:MZN983070 NJJ983048:NJJ983070 NTF983048:NTF983070 ODB983048:ODB983070 OMX983048:OMX983070 OWT983048:OWT983070 PGP983048:PGP983070 PQL983048:PQL983070 QAH983048:QAH983070 QKD983048:QKD983070 QTZ983048:QTZ983070 RDV983048:RDV983070 RNR983048:RNR983070 RXN983048:RXN983070 SHJ983048:SHJ983070 SRF983048:SRF983070 TBB983048:TBB983070 TKX983048:TKX983070 TUT983048:TUT983070 UEP983048:UEP983070 UOL983048:UOL983070 UYH983048:UYH983070 VID983048:VID983070 VRZ983048:VRZ983070 WBV983048:WBV983070 WLR983048:WLR983070 WVN983048:WVN983070" xr:uid="{23F2EB27-604A-45F5-9574-CA30CAFC4F08}">
      <formula1>$A$30:$A$34</formula1>
    </dataValidation>
  </dataValidations>
  <pageMargins left="0.75" right="0.75" top="1" bottom="1" header="0.49212598499999999" footer="0.49212598499999999"/>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C562A-16EF-49F8-A6AF-2A32F8EB07E9}">
  <dimension ref="A1:Z83"/>
  <sheetViews>
    <sheetView showGridLines="0" topLeftCell="E10" zoomScale="70" zoomScaleNormal="70" workbookViewId="0">
      <selection activeCell="N25" sqref="N25:Q25"/>
    </sheetView>
  </sheetViews>
  <sheetFormatPr defaultRowHeight="12.75" x14ac:dyDescent="0.2"/>
  <cols>
    <col min="1" max="1" width="37.42578125" customWidth="1"/>
    <col min="2" max="2" width="19.42578125" customWidth="1"/>
    <col min="3" max="3" width="19.140625" customWidth="1"/>
    <col min="4" max="4" width="19.85546875" customWidth="1"/>
    <col min="7" max="7" width="19" customWidth="1"/>
    <col min="8" max="8" width="16.140625" customWidth="1"/>
    <col min="9" max="9" width="28.42578125" customWidth="1"/>
    <col min="10" max="10" width="12.42578125" customWidth="1"/>
    <col min="11" max="11" width="19.28515625" customWidth="1"/>
    <col min="12" max="12" width="20.85546875" customWidth="1"/>
    <col min="13" max="13" width="21.140625" customWidth="1"/>
    <col min="21" max="21" width="4.28515625" customWidth="1"/>
    <col min="22" max="22" width="5.42578125" customWidth="1"/>
    <col min="23" max="23" width="2.28515625" customWidth="1"/>
  </cols>
  <sheetData>
    <row r="1" spans="1:26" ht="15" x14ac:dyDescent="0.2">
      <c r="A1" s="519" t="s">
        <v>927</v>
      </c>
      <c r="B1" s="518"/>
      <c r="C1" s="518"/>
    </row>
    <row r="2" spans="1:26" ht="15" x14ac:dyDescent="0.2">
      <c r="A2" s="520"/>
    </row>
    <row r="3" spans="1:26" ht="15" x14ac:dyDescent="0.2">
      <c r="A3" s="519" t="s">
        <v>926</v>
      </c>
      <c r="B3" s="518"/>
    </row>
    <row r="4" spans="1:26" ht="15.75" thickBot="1" x14ac:dyDescent="0.25">
      <c r="A4" s="519"/>
      <c r="B4" s="518"/>
    </row>
    <row r="5" spans="1:26" ht="54.75" customHeight="1" thickBot="1" x14ac:dyDescent="0.25">
      <c r="A5" s="517" t="s">
        <v>925</v>
      </c>
      <c r="B5" s="516" t="s">
        <v>924</v>
      </c>
      <c r="C5" s="516" t="s">
        <v>923</v>
      </c>
      <c r="D5" s="516" t="s">
        <v>922</v>
      </c>
      <c r="G5" s="712" t="s">
        <v>921</v>
      </c>
      <c r="H5" s="713"/>
      <c r="I5" s="713"/>
      <c r="J5" s="713"/>
      <c r="K5" s="713"/>
      <c r="L5" s="713"/>
      <c r="M5" s="713"/>
      <c r="N5" s="713"/>
      <c r="O5" s="713"/>
      <c r="P5" s="713"/>
      <c r="Q5" s="713"/>
      <c r="R5" s="713"/>
      <c r="S5" s="713"/>
      <c r="T5" s="713"/>
      <c r="U5" s="713"/>
      <c r="V5" s="713"/>
      <c r="W5" s="713"/>
      <c r="X5" s="714"/>
      <c r="Y5" s="715"/>
      <c r="Z5" s="716"/>
    </row>
    <row r="6" spans="1:26" ht="60.75" thickBot="1" x14ac:dyDescent="0.25">
      <c r="A6" s="510" t="s">
        <v>920</v>
      </c>
      <c r="B6" s="509" t="s">
        <v>919</v>
      </c>
      <c r="C6" s="509" t="s">
        <v>918</v>
      </c>
      <c r="D6" s="509" t="s">
        <v>917</v>
      </c>
      <c r="G6" s="717" t="s">
        <v>916</v>
      </c>
      <c r="H6" s="718"/>
      <c r="I6" s="718"/>
      <c r="J6" s="718"/>
      <c r="K6" s="718"/>
      <c r="L6" s="718"/>
      <c r="M6" s="515"/>
      <c r="N6" s="515"/>
      <c r="O6" s="718" t="s">
        <v>915</v>
      </c>
      <c r="P6" s="718"/>
      <c r="Q6" s="718"/>
      <c r="R6" s="718"/>
      <c r="S6" s="718"/>
      <c r="T6" s="718"/>
      <c r="U6" s="718"/>
      <c r="V6" s="718"/>
      <c r="W6" s="718"/>
      <c r="X6" s="719"/>
      <c r="Y6" s="715"/>
      <c r="Z6" s="716"/>
    </row>
    <row r="7" spans="1:26" ht="75.75" thickBot="1" x14ac:dyDescent="0.25">
      <c r="A7" s="510" t="s">
        <v>410</v>
      </c>
      <c r="B7" s="509" t="s">
        <v>914</v>
      </c>
      <c r="C7" s="509" t="s">
        <v>414</v>
      </c>
      <c r="D7" s="509" t="s">
        <v>416</v>
      </c>
      <c r="G7" s="506"/>
      <c r="H7" s="506"/>
      <c r="I7" s="505"/>
      <c r="J7" s="505"/>
      <c r="K7" s="505"/>
      <c r="L7" s="505"/>
      <c r="M7" s="505"/>
      <c r="N7" s="711"/>
      <c r="O7" s="711"/>
      <c r="P7" s="711"/>
      <c r="Q7" s="702"/>
      <c r="R7" s="702"/>
      <c r="S7" s="702"/>
      <c r="T7" s="702"/>
      <c r="U7" s="702"/>
      <c r="V7" s="702"/>
      <c r="W7" s="703"/>
      <c r="X7" s="703"/>
      <c r="Y7" s="703"/>
      <c r="Z7" s="703"/>
    </row>
    <row r="8" spans="1:26" ht="61.5" thickTop="1" thickBot="1" x14ac:dyDescent="0.25">
      <c r="A8" s="510" t="s">
        <v>423</v>
      </c>
      <c r="B8" s="509" t="s">
        <v>913</v>
      </c>
      <c r="C8" s="509" t="s">
        <v>912</v>
      </c>
      <c r="D8" s="509" t="s">
        <v>429</v>
      </c>
      <c r="G8" s="514" t="s">
        <v>0</v>
      </c>
      <c r="H8" s="513" t="s">
        <v>911</v>
      </c>
      <c r="I8" s="513" t="s">
        <v>910</v>
      </c>
      <c r="J8" s="513" t="s">
        <v>909</v>
      </c>
      <c r="K8" s="513" t="s">
        <v>908</v>
      </c>
      <c r="L8" s="513" t="s">
        <v>907</v>
      </c>
      <c r="M8" s="513" t="s">
        <v>906</v>
      </c>
      <c r="N8" s="708" t="s">
        <v>905</v>
      </c>
      <c r="O8" s="709"/>
      <c r="P8" s="687" t="s">
        <v>904</v>
      </c>
      <c r="Q8" s="689"/>
      <c r="R8" s="688"/>
      <c r="S8" s="687" t="s">
        <v>903</v>
      </c>
      <c r="T8" s="689"/>
      <c r="U8" s="689"/>
      <c r="V8" s="689"/>
      <c r="W8" s="688"/>
      <c r="X8" s="708" t="s">
        <v>6</v>
      </c>
      <c r="Y8" s="710"/>
      <c r="Z8" s="504"/>
    </row>
    <row r="9" spans="1:26" ht="60.75" thickBot="1" x14ac:dyDescent="0.25">
      <c r="A9" s="510" t="s">
        <v>902</v>
      </c>
      <c r="B9" s="509" t="s">
        <v>901</v>
      </c>
      <c r="C9" s="509" t="s">
        <v>900</v>
      </c>
      <c r="D9" s="509" t="s">
        <v>899</v>
      </c>
      <c r="G9" s="512" t="s">
        <v>898</v>
      </c>
      <c r="H9" s="511" t="s">
        <v>897</v>
      </c>
      <c r="I9" s="511" t="s">
        <v>896</v>
      </c>
      <c r="J9" s="511" t="s">
        <v>771</v>
      </c>
      <c r="K9" s="511" t="s">
        <v>760</v>
      </c>
      <c r="L9" s="511" t="s">
        <v>895</v>
      </c>
      <c r="M9" s="511" t="s">
        <v>894</v>
      </c>
      <c r="N9" s="704" t="s">
        <v>893</v>
      </c>
      <c r="O9" s="705"/>
      <c r="P9" s="704" t="s">
        <v>892</v>
      </c>
      <c r="Q9" s="706"/>
      <c r="R9" s="705"/>
      <c r="S9" s="704" t="s">
        <v>766</v>
      </c>
      <c r="T9" s="706"/>
      <c r="U9" s="706"/>
      <c r="V9" s="706"/>
      <c r="W9" s="705"/>
      <c r="X9" s="704" t="s">
        <v>891</v>
      </c>
      <c r="Y9" s="707"/>
      <c r="Z9" s="504"/>
    </row>
    <row r="10" spans="1:26" ht="60.75" thickBot="1" x14ac:dyDescent="0.25">
      <c r="A10" s="510" t="s">
        <v>890</v>
      </c>
      <c r="B10" s="509" t="s">
        <v>889</v>
      </c>
      <c r="C10" s="509" t="s">
        <v>888</v>
      </c>
      <c r="D10" s="509" t="s">
        <v>887</v>
      </c>
      <c r="G10" s="512" t="s">
        <v>886</v>
      </c>
      <c r="H10" s="511" t="s">
        <v>885</v>
      </c>
      <c r="I10" s="511" t="s">
        <v>884</v>
      </c>
      <c r="J10" s="511" t="s">
        <v>771</v>
      </c>
      <c r="K10" s="511" t="s">
        <v>837</v>
      </c>
      <c r="L10" s="511" t="s">
        <v>883</v>
      </c>
      <c r="M10" s="511" t="s">
        <v>882</v>
      </c>
      <c r="N10" s="704" t="s">
        <v>881</v>
      </c>
      <c r="O10" s="705"/>
      <c r="P10" s="704" t="s">
        <v>880</v>
      </c>
      <c r="Q10" s="706"/>
      <c r="R10" s="705"/>
      <c r="S10" s="704" t="s">
        <v>776</v>
      </c>
      <c r="T10" s="706"/>
      <c r="U10" s="706"/>
      <c r="V10" s="706"/>
      <c r="W10" s="705"/>
      <c r="X10" s="704" t="s">
        <v>879</v>
      </c>
      <c r="Y10" s="707"/>
      <c r="Z10" s="504"/>
    </row>
    <row r="11" spans="1:26" ht="75.75" thickBot="1" x14ac:dyDescent="0.25">
      <c r="A11" s="510" t="s">
        <v>878</v>
      </c>
      <c r="B11" s="509" t="s">
        <v>877</v>
      </c>
      <c r="C11" s="509" t="s">
        <v>876</v>
      </c>
      <c r="D11" s="509" t="s">
        <v>875</v>
      </c>
      <c r="G11" s="508" t="s">
        <v>874</v>
      </c>
      <c r="H11" s="507" t="s">
        <v>873</v>
      </c>
      <c r="I11" s="507" t="s">
        <v>872</v>
      </c>
      <c r="J11" s="507" t="s">
        <v>771</v>
      </c>
      <c r="K11" s="507" t="s">
        <v>871</v>
      </c>
      <c r="L11" s="507" t="s">
        <v>870</v>
      </c>
      <c r="M11" s="507" t="s">
        <v>869</v>
      </c>
      <c r="N11" s="698" t="s">
        <v>868</v>
      </c>
      <c r="O11" s="699"/>
      <c r="P11" s="698" t="s">
        <v>867</v>
      </c>
      <c r="Q11" s="700"/>
      <c r="R11" s="699"/>
      <c r="S11" s="698" t="s">
        <v>866</v>
      </c>
      <c r="T11" s="700"/>
      <c r="U11" s="700"/>
      <c r="V11" s="700"/>
      <c r="W11" s="699"/>
      <c r="X11" s="698" t="s">
        <v>865</v>
      </c>
      <c r="Y11" s="701"/>
      <c r="Z11" s="504"/>
    </row>
    <row r="12" spans="1:26" ht="60.75" thickBot="1" x14ac:dyDescent="0.25">
      <c r="A12" s="510" t="s">
        <v>864</v>
      </c>
      <c r="B12" s="509" t="s">
        <v>863</v>
      </c>
      <c r="C12" s="509" t="s">
        <v>862</v>
      </c>
      <c r="D12" s="509" t="s">
        <v>861</v>
      </c>
      <c r="G12" s="508" t="s">
        <v>860</v>
      </c>
      <c r="H12" s="507" t="s">
        <v>859</v>
      </c>
      <c r="I12" s="507" t="s">
        <v>858</v>
      </c>
      <c r="J12" s="507" t="s">
        <v>771</v>
      </c>
      <c r="K12" s="507" t="s">
        <v>857</v>
      </c>
      <c r="L12" s="507" t="s">
        <v>845</v>
      </c>
      <c r="M12" s="507" t="s">
        <v>856</v>
      </c>
      <c r="N12" s="698" t="s">
        <v>824</v>
      </c>
      <c r="O12" s="699"/>
      <c r="P12" s="698" t="s">
        <v>855</v>
      </c>
      <c r="Q12" s="700"/>
      <c r="R12" s="699"/>
      <c r="S12" s="698" t="s">
        <v>776</v>
      </c>
      <c r="T12" s="700"/>
      <c r="U12" s="700"/>
      <c r="V12" s="700"/>
      <c r="W12" s="699"/>
      <c r="X12" s="698" t="s">
        <v>854</v>
      </c>
      <c r="Y12" s="701"/>
      <c r="Z12" s="504"/>
    </row>
    <row r="13" spans="1:26" ht="75.75" thickBot="1" x14ac:dyDescent="0.25">
      <c r="A13" s="510" t="s">
        <v>853</v>
      </c>
      <c r="B13" s="509" t="s">
        <v>852</v>
      </c>
      <c r="C13" s="509" t="s">
        <v>851</v>
      </c>
      <c r="D13" s="509" t="s">
        <v>850</v>
      </c>
      <c r="G13" s="508" t="s">
        <v>849</v>
      </c>
      <c r="H13" s="507" t="s">
        <v>848</v>
      </c>
      <c r="I13" s="507" t="s">
        <v>847</v>
      </c>
      <c r="J13" s="507" t="s">
        <v>771</v>
      </c>
      <c r="K13" s="507" t="s">
        <v>846</v>
      </c>
      <c r="L13" s="507" t="s">
        <v>845</v>
      </c>
      <c r="M13" s="507" t="s">
        <v>844</v>
      </c>
      <c r="N13" s="698" t="s">
        <v>843</v>
      </c>
      <c r="O13" s="699"/>
      <c r="P13" s="698" t="s">
        <v>842</v>
      </c>
      <c r="Q13" s="700"/>
      <c r="R13" s="699"/>
      <c r="S13" s="698" t="s">
        <v>776</v>
      </c>
      <c r="T13" s="700"/>
      <c r="U13" s="700"/>
      <c r="V13" s="700"/>
      <c r="W13" s="699"/>
      <c r="X13" s="698" t="s">
        <v>841</v>
      </c>
      <c r="Y13" s="701"/>
      <c r="Z13" s="504"/>
    </row>
    <row r="14" spans="1:26" ht="39" thickBot="1" x14ac:dyDescent="0.25">
      <c r="G14" s="508" t="s">
        <v>840</v>
      </c>
      <c r="H14" s="507" t="s">
        <v>839</v>
      </c>
      <c r="I14" s="507" t="s">
        <v>838</v>
      </c>
      <c r="J14" s="507" t="s">
        <v>771</v>
      </c>
      <c r="K14" s="507" t="s">
        <v>837</v>
      </c>
      <c r="L14" s="507" t="s">
        <v>836</v>
      </c>
      <c r="M14" s="507" t="s">
        <v>835</v>
      </c>
      <c r="N14" s="698" t="s">
        <v>834</v>
      </c>
      <c r="O14" s="699"/>
      <c r="P14" s="698" t="s">
        <v>833</v>
      </c>
      <c r="Q14" s="700"/>
      <c r="R14" s="699"/>
      <c r="S14" s="698" t="s">
        <v>832</v>
      </c>
      <c r="T14" s="700"/>
      <c r="U14" s="700"/>
      <c r="V14" s="700"/>
      <c r="W14" s="699"/>
      <c r="X14" s="698" t="s">
        <v>831</v>
      </c>
      <c r="Y14" s="701"/>
      <c r="Z14" s="504"/>
    </row>
    <row r="15" spans="1:26" ht="39" thickBot="1" x14ac:dyDescent="0.25">
      <c r="G15" s="508" t="s">
        <v>830</v>
      </c>
      <c r="H15" s="507" t="s">
        <v>829</v>
      </c>
      <c r="I15" s="507" t="s">
        <v>828</v>
      </c>
      <c r="J15" s="507" t="s">
        <v>771</v>
      </c>
      <c r="K15" s="507" t="s">
        <v>827</v>
      </c>
      <c r="L15" s="507" t="s">
        <v>826</v>
      </c>
      <c r="M15" s="507" t="s">
        <v>825</v>
      </c>
      <c r="N15" s="698" t="s">
        <v>824</v>
      </c>
      <c r="O15" s="699"/>
      <c r="P15" s="698" t="s">
        <v>823</v>
      </c>
      <c r="Q15" s="700"/>
      <c r="R15" s="699"/>
      <c r="S15" s="698" t="s">
        <v>776</v>
      </c>
      <c r="T15" s="700"/>
      <c r="U15" s="700"/>
      <c r="V15" s="700"/>
      <c r="W15" s="699"/>
      <c r="X15" s="698" t="s">
        <v>822</v>
      </c>
      <c r="Y15" s="701"/>
      <c r="Z15" s="504"/>
    </row>
    <row r="16" spans="1:26" ht="43.5" customHeight="1" thickBot="1" x14ac:dyDescent="0.25">
      <c r="G16" s="508" t="s">
        <v>821</v>
      </c>
      <c r="H16" s="507" t="s">
        <v>820</v>
      </c>
      <c r="I16" s="507" t="s">
        <v>819</v>
      </c>
      <c r="J16" s="507" t="s">
        <v>771</v>
      </c>
      <c r="K16" s="507" t="s">
        <v>818</v>
      </c>
      <c r="L16" s="507" t="s">
        <v>817</v>
      </c>
      <c r="M16" s="507" t="s">
        <v>816</v>
      </c>
      <c r="N16" s="698" t="s">
        <v>815</v>
      </c>
      <c r="O16" s="699"/>
      <c r="P16" s="698" t="s">
        <v>814</v>
      </c>
      <c r="Q16" s="700"/>
      <c r="R16" s="699"/>
      <c r="S16" s="698" t="s">
        <v>813</v>
      </c>
      <c r="T16" s="700"/>
      <c r="U16" s="700"/>
      <c r="V16" s="700"/>
      <c r="W16" s="699"/>
      <c r="X16" s="698" t="s">
        <v>812</v>
      </c>
      <c r="Y16" s="701"/>
      <c r="Z16" s="504"/>
    </row>
    <row r="17" spans="7:26" ht="43.5" customHeight="1" thickBot="1" x14ac:dyDescent="0.25">
      <c r="G17" s="508" t="s">
        <v>811</v>
      </c>
      <c r="H17" s="507" t="s">
        <v>810</v>
      </c>
      <c r="I17" s="507" t="s">
        <v>809</v>
      </c>
      <c r="J17" s="507" t="s">
        <v>808</v>
      </c>
      <c r="K17" s="507" t="s">
        <v>760</v>
      </c>
      <c r="L17" s="507" t="s">
        <v>807</v>
      </c>
      <c r="M17" s="507" t="s">
        <v>806</v>
      </c>
      <c r="N17" s="698" t="s">
        <v>805</v>
      </c>
      <c r="O17" s="699"/>
      <c r="P17" s="698" t="s">
        <v>804</v>
      </c>
      <c r="Q17" s="700"/>
      <c r="R17" s="699"/>
      <c r="S17" s="698" t="s">
        <v>803</v>
      </c>
      <c r="T17" s="700"/>
      <c r="U17" s="700"/>
      <c r="V17" s="700"/>
      <c r="W17" s="699"/>
      <c r="X17" s="698" t="s">
        <v>802</v>
      </c>
      <c r="Y17" s="701"/>
      <c r="Z17" s="504"/>
    </row>
    <row r="18" spans="7:26" ht="43.5" customHeight="1" thickBot="1" x14ac:dyDescent="0.25">
      <c r="G18" s="508" t="s">
        <v>801</v>
      </c>
      <c r="H18" s="507" t="s">
        <v>800</v>
      </c>
      <c r="I18" s="507" t="s">
        <v>799</v>
      </c>
      <c r="J18" s="507" t="s">
        <v>771</v>
      </c>
      <c r="K18" s="507" t="s">
        <v>760</v>
      </c>
      <c r="L18" s="507" t="s">
        <v>798</v>
      </c>
      <c r="M18" s="507" t="s">
        <v>787</v>
      </c>
      <c r="N18" s="698" t="s">
        <v>797</v>
      </c>
      <c r="O18" s="699"/>
      <c r="P18" s="698" t="s">
        <v>796</v>
      </c>
      <c r="Q18" s="700"/>
      <c r="R18" s="699"/>
      <c r="S18" s="698" t="s">
        <v>795</v>
      </c>
      <c r="T18" s="700"/>
      <c r="U18" s="700"/>
      <c r="V18" s="700"/>
      <c r="W18" s="699"/>
      <c r="X18" s="698" t="s">
        <v>794</v>
      </c>
      <c r="Y18" s="701"/>
      <c r="Z18" s="504"/>
    </row>
    <row r="19" spans="7:26" ht="43.5" customHeight="1" thickBot="1" x14ac:dyDescent="0.25">
      <c r="G19" s="508" t="s">
        <v>793</v>
      </c>
      <c r="H19" s="507" t="s">
        <v>792</v>
      </c>
      <c r="I19" s="507" t="s">
        <v>791</v>
      </c>
      <c r="J19" s="507" t="s">
        <v>790</v>
      </c>
      <c r="K19" s="507" t="s">
        <v>789</v>
      </c>
      <c r="L19" s="507" t="s">
        <v>788</v>
      </c>
      <c r="M19" s="507" t="s">
        <v>787</v>
      </c>
      <c r="N19" s="698" t="s">
        <v>786</v>
      </c>
      <c r="O19" s="699"/>
      <c r="P19" s="698" t="s">
        <v>785</v>
      </c>
      <c r="Q19" s="700"/>
      <c r="R19" s="699"/>
      <c r="S19" s="698" t="s">
        <v>784</v>
      </c>
      <c r="T19" s="700"/>
      <c r="U19" s="700"/>
      <c r="V19" s="700"/>
      <c r="W19" s="699"/>
      <c r="X19" s="698" t="s">
        <v>783</v>
      </c>
      <c r="Y19" s="701"/>
      <c r="Z19" s="504"/>
    </row>
    <row r="20" spans="7:26" ht="43.5" customHeight="1" thickBot="1" x14ac:dyDescent="0.25">
      <c r="G20" s="508" t="s">
        <v>782</v>
      </c>
      <c r="H20" s="507" t="s">
        <v>781</v>
      </c>
      <c r="I20" s="507" t="s">
        <v>780</v>
      </c>
      <c r="J20" s="507" t="s">
        <v>771</v>
      </c>
      <c r="K20" s="507" t="s">
        <v>410</v>
      </c>
      <c r="L20" s="507" t="s">
        <v>759</v>
      </c>
      <c r="M20" s="507" t="s">
        <v>779</v>
      </c>
      <c r="N20" s="698" t="s">
        <v>778</v>
      </c>
      <c r="O20" s="699"/>
      <c r="P20" s="698" t="s">
        <v>777</v>
      </c>
      <c r="Q20" s="700"/>
      <c r="R20" s="699"/>
      <c r="S20" s="698" t="s">
        <v>776</v>
      </c>
      <c r="T20" s="700"/>
      <c r="U20" s="700"/>
      <c r="V20" s="700"/>
      <c r="W20" s="699"/>
      <c r="X20" s="698" t="s">
        <v>775</v>
      </c>
      <c r="Y20" s="701"/>
      <c r="Z20" s="504"/>
    </row>
    <row r="21" spans="7:26" ht="43.5" customHeight="1" thickBot="1" x14ac:dyDescent="0.25">
      <c r="G21" s="508" t="s">
        <v>774</v>
      </c>
      <c r="H21" s="507" t="s">
        <v>773</v>
      </c>
      <c r="I21" s="507" t="s">
        <v>772</v>
      </c>
      <c r="J21" s="507" t="s">
        <v>771</v>
      </c>
      <c r="K21" s="507" t="s">
        <v>760</v>
      </c>
      <c r="L21" s="507" t="s">
        <v>770</v>
      </c>
      <c r="M21" s="507" t="s">
        <v>769</v>
      </c>
      <c r="N21" s="698" t="s">
        <v>768</v>
      </c>
      <c r="O21" s="699"/>
      <c r="P21" s="698" t="s">
        <v>767</v>
      </c>
      <c r="Q21" s="700"/>
      <c r="R21" s="699"/>
      <c r="S21" s="698" t="s">
        <v>766</v>
      </c>
      <c r="T21" s="700"/>
      <c r="U21" s="700"/>
      <c r="V21" s="700"/>
      <c r="W21" s="699"/>
      <c r="X21" s="698" t="s">
        <v>765</v>
      </c>
      <c r="Y21" s="701"/>
      <c r="Z21" s="504"/>
    </row>
    <row r="22" spans="7:26" ht="43.5" customHeight="1" thickBot="1" x14ac:dyDescent="0.25">
      <c r="G22" s="508" t="s">
        <v>764</v>
      </c>
      <c r="H22" s="507" t="s">
        <v>763</v>
      </c>
      <c r="I22" s="507" t="s">
        <v>762</v>
      </c>
      <c r="J22" s="507" t="s">
        <v>761</v>
      </c>
      <c r="K22" s="507" t="s">
        <v>760</v>
      </c>
      <c r="L22" s="507" t="s">
        <v>759</v>
      </c>
      <c r="M22" s="507" t="s">
        <v>758</v>
      </c>
      <c r="N22" s="698" t="s">
        <v>757</v>
      </c>
      <c r="O22" s="699"/>
      <c r="P22" s="698" t="s">
        <v>756</v>
      </c>
      <c r="Q22" s="700"/>
      <c r="R22" s="699"/>
      <c r="S22" s="698" t="s">
        <v>755</v>
      </c>
      <c r="T22" s="700"/>
      <c r="U22" s="700"/>
      <c r="V22" s="700"/>
      <c r="W22" s="699"/>
      <c r="X22" s="698" t="s">
        <v>754</v>
      </c>
      <c r="Y22" s="701"/>
      <c r="Z22" s="504"/>
    </row>
    <row r="23" spans="7:26" ht="13.5" thickBot="1" x14ac:dyDescent="0.25">
      <c r="G23" s="506"/>
      <c r="H23" s="506"/>
      <c r="I23" s="505"/>
      <c r="J23" s="505"/>
      <c r="K23" s="505"/>
      <c r="L23" s="505"/>
      <c r="M23" s="505"/>
      <c r="N23" s="702"/>
      <c r="O23" s="702"/>
      <c r="P23" s="702"/>
      <c r="Q23" s="702"/>
      <c r="R23" s="702"/>
      <c r="S23" s="702"/>
      <c r="T23" s="702"/>
      <c r="U23" s="702"/>
      <c r="V23" s="702"/>
      <c r="W23" s="703"/>
      <c r="X23" s="703"/>
      <c r="Y23" s="703"/>
      <c r="Z23" s="703"/>
    </row>
    <row r="24" spans="7:26" ht="25.5" customHeight="1" thickBot="1" x14ac:dyDescent="0.25">
      <c r="G24" s="505"/>
      <c r="H24" s="687" t="s">
        <v>753</v>
      </c>
      <c r="I24" s="688"/>
      <c r="J24" s="687" t="s">
        <v>752</v>
      </c>
      <c r="K24" s="689"/>
      <c r="L24" s="689"/>
      <c r="M24" s="690"/>
      <c r="N24" s="691"/>
      <c r="O24" s="689"/>
      <c r="P24" s="689"/>
      <c r="Q24" s="689"/>
      <c r="R24" s="689"/>
      <c r="S24" s="689"/>
      <c r="T24" s="689"/>
      <c r="U24" s="689"/>
      <c r="V24" s="689"/>
      <c r="W24" s="689"/>
      <c r="X24" s="689"/>
      <c r="Y24" s="690"/>
      <c r="Z24" s="504"/>
    </row>
    <row r="25" spans="7:26" ht="90" customHeight="1" thickBot="1" x14ac:dyDescent="0.25">
      <c r="G25" s="692" t="s">
        <v>751</v>
      </c>
      <c r="H25" s="693"/>
      <c r="I25" s="693"/>
      <c r="J25" s="693"/>
      <c r="K25" s="693"/>
      <c r="L25" s="693"/>
      <c r="M25" s="694"/>
      <c r="N25" s="695"/>
      <c r="O25" s="696"/>
      <c r="P25" s="696"/>
      <c r="Q25" s="696"/>
      <c r="R25" s="696"/>
      <c r="S25" s="696"/>
      <c r="T25" s="696"/>
      <c r="U25" s="503"/>
      <c r="V25" s="697"/>
      <c r="W25" s="697"/>
      <c r="X25" s="697"/>
      <c r="Y25" s="697"/>
      <c r="Z25" s="697"/>
    </row>
    <row r="29" spans="7:26" ht="17.25" x14ac:dyDescent="0.2">
      <c r="G29" s="502"/>
    </row>
    <row r="30" spans="7:26" x14ac:dyDescent="0.2">
      <c r="G30" s="501"/>
    </row>
    <row r="31" spans="7:26" ht="17.25" x14ac:dyDescent="0.2">
      <c r="G31" s="500"/>
    </row>
    <row r="32" spans="7:26" ht="17.25" x14ac:dyDescent="0.2">
      <c r="G32" s="500"/>
    </row>
    <row r="33" spans="7:7" ht="17.25" x14ac:dyDescent="0.2">
      <c r="G33" s="500"/>
    </row>
    <row r="34" spans="7:7" ht="17.25" x14ac:dyDescent="0.2">
      <c r="G34" s="500"/>
    </row>
    <row r="35" spans="7:7" ht="17.25" x14ac:dyDescent="0.2">
      <c r="G35" s="500"/>
    </row>
    <row r="36" spans="7:7" ht="17.25" x14ac:dyDescent="0.2">
      <c r="G36" s="500"/>
    </row>
    <row r="37" spans="7:7" ht="17.25" x14ac:dyDescent="0.2">
      <c r="G37" s="500"/>
    </row>
    <row r="38" spans="7:7" ht="17.25" x14ac:dyDescent="0.2">
      <c r="G38" s="500"/>
    </row>
    <row r="39" spans="7:7" ht="17.25" x14ac:dyDescent="0.2">
      <c r="G39" s="500"/>
    </row>
    <row r="40" spans="7:7" ht="17.25" x14ac:dyDescent="0.2">
      <c r="G40" s="500"/>
    </row>
    <row r="41" spans="7:7" ht="17.25" x14ac:dyDescent="0.2">
      <c r="G41" s="500"/>
    </row>
    <row r="43" spans="7:7" ht="17.25" x14ac:dyDescent="0.2">
      <c r="G43" s="502"/>
    </row>
    <row r="44" spans="7:7" x14ac:dyDescent="0.2">
      <c r="G44" s="501"/>
    </row>
    <row r="45" spans="7:7" ht="17.25" x14ac:dyDescent="0.2">
      <c r="G45" s="500"/>
    </row>
    <row r="46" spans="7:7" ht="17.25" x14ac:dyDescent="0.2">
      <c r="G46" s="500"/>
    </row>
    <row r="47" spans="7:7" ht="17.25" x14ac:dyDescent="0.2">
      <c r="G47" s="500"/>
    </row>
    <row r="48" spans="7:7" ht="17.25" x14ac:dyDescent="0.2">
      <c r="G48" s="500"/>
    </row>
    <row r="49" spans="7:7" ht="17.25" x14ac:dyDescent="0.2">
      <c r="G49" s="500"/>
    </row>
    <row r="50" spans="7:7" ht="17.25" x14ac:dyDescent="0.2">
      <c r="G50" s="500"/>
    </row>
    <row r="51" spans="7:7" ht="17.25" x14ac:dyDescent="0.2">
      <c r="G51" s="500"/>
    </row>
    <row r="52" spans="7:7" ht="17.25" x14ac:dyDescent="0.2">
      <c r="G52" s="500"/>
    </row>
    <row r="53" spans="7:7" ht="17.25" x14ac:dyDescent="0.2">
      <c r="G53" s="500"/>
    </row>
    <row r="54" spans="7:7" ht="17.25" x14ac:dyDescent="0.2">
      <c r="G54" s="500"/>
    </row>
    <row r="55" spans="7:7" ht="17.25" x14ac:dyDescent="0.2">
      <c r="G55" s="500"/>
    </row>
    <row r="57" spans="7:7" ht="17.25" x14ac:dyDescent="0.2">
      <c r="G57" s="502"/>
    </row>
    <row r="58" spans="7:7" x14ac:dyDescent="0.2">
      <c r="G58" s="501"/>
    </row>
    <row r="59" spans="7:7" ht="17.25" x14ac:dyDescent="0.2">
      <c r="G59" s="500"/>
    </row>
    <row r="60" spans="7:7" ht="17.25" x14ac:dyDescent="0.2">
      <c r="G60" s="500"/>
    </row>
    <row r="61" spans="7:7" ht="17.25" x14ac:dyDescent="0.2">
      <c r="G61" s="500"/>
    </row>
    <row r="62" spans="7:7" ht="17.25" x14ac:dyDescent="0.2">
      <c r="G62" s="500"/>
    </row>
    <row r="63" spans="7:7" ht="17.25" x14ac:dyDescent="0.2">
      <c r="G63" s="500"/>
    </row>
    <row r="64" spans="7:7" ht="17.25" x14ac:dyDescent="0.2">
      <c r="G64" s="500"/>
    </row>
    <row r="65" spans="7:7" ht="17.25" x14ac:dyDescent="0.2">
      <c r="G65" s="500"/>
    </row>
    <row r="66" spans="7:7" ht="17.25" x14ac:dyDescent="0.2">
      <c r="G66" s="500"/>
    </row>
    <row r="67" spans="7:7" ht="17.25" x14ac:dyDescent="0.2">
      <c r="G67" s="500"/>
    </row>
    <row r="68" spans="7:7" ht="17.25" x14ac:dyDescent="0.2">
      <c r="G68" s="500"/>
    </row>
    <row r="69" spans="7:7" ht="17.25" x14ac:dyDescent="0.2">
      <c r="G69" s="500"/>
    </row>
    <row r="71" spans="7:7" ht="17.25" x14ac:dyDescent="0.2">
      <c r="G71" s="502"/>
    </row>
    <row r="72" spans="7:7" x14ac:dyDescent="0.2">
      <c r="G72" s="501"/>
    </row>
    <row r="73" spans="7:7" ht="17.25" x14ac:dyDescent="0.2">
      <c r="G73" s="500"/>
    </row>
    <row r="74" spans="7:7" ht="17.25" x14ac:dyDescent="0.2">
      <c r="G74" s="500"/>
    </row>
    <row r="75" spans="7:7" ht="17.25" x14ac:dyDescent="0.2">
      <c r="G75" s="500"/>
    </row>
    <row r="76" spans="7:7" ht="17.25" x14ac:dyDescent="0.2">
      <c r="G76" s="500"/>
    </row>
    <row r="77" spans="7:7" ht="17.25" x14ac:dyDescent="0.2">
      <c r="G77" s="500"/>
    </row>
    <row r="78" spans="7:7" ht="17.25" x14ac:dyDescent="0.2">
      <c r="G78" s="500"/>
    </row>
    <row r="79" spans="7:7" ht="17.25" x14ac:dyDescent="0.2">
      <c r="G79" s="500"/>
    </row>
    <row r="80" spans="7:7" ht="17.25" x14ac:dyDescent="0.2">
      <c r="G80" s="500"/>
    </row>
    <row r="81" spans="7:7" ht="17.25" x14ac:dyDescent="0.2">
      <c r="G81" s="500"/>
    </row>
    <row r="82" spans="7:7" ht="17.25" x14ac:dyDescent="0.2">
      <c r="G82" s="500"/>
    </row>
    <row r="83" spans="7:7" ht="17.25" x14ac:dyDescent="0.2">
      <c r="G83" s="500"/>
    </row>
  </sheetData>
  <mergeCells count="80">
    <mergeCell ref="N21:O21"/>
    <mergeCell ref="P21:R21"/>
    <mergeCell ref="S21:W21"/>
    <mergeCell ref="X21:Y21"/>
    <mergeCell ref="N22:O22"/>
    <mergeCell ref="P22:R22"/>
    <mergeCell ref="S22:W22"/>
    <mergeCell ref="X22:Y22"/>
    <mergeCell ref="N19:O19"/>
    <mergeCell ref="P19:R19"/>
    <mergeCell ref="S19:W19"/>
    <mergeCell ref="X19:Y19"/>
    <mergeCell ref="N20:O20"/>
    <mergeCell ref="P20:R20"/>
    <mergeCell ref="S20:W20"/>
    <mergeCell ref="X20:Y20"/>
    <mergeCell ref="N7:P7"/>
    <mergeCell ref="Q7:S7"/>
    <mergeCell ref="T7:V7"/>
    <mergeCell ref="W7:Z7"/>
    <mergeCell ref="G5:X5"/>
    <mergeCell ref="Y5:Z5"/>
    <mergeCell ref="G6:L6"/>
    <mergeCell ref="O6:X6"/>
    <mergeCell ref="Y6:Z6"/>
    <mergeCell ref="N8:O8"/>
    <mergeCell ref="P8:R8"/>
    <mergeCell ref="S8:W8"/>
    <mergeCell ref="X8:Y8"/>
    <mergeCell ref="N9:O9"/>
    <mergeCell ref="P9:R9"/>
    <mergeCell ref="S9:W9"/>
    <mergeCell ref="X9:Y9"/>
    <mergeCell ref="N10:O10"/>
    <mergeCell ref="P10:R10"/>
    <mergeCell ref="S10:W10"/>
    <mergeCell ref="X10:Y10"/>
    <mergeCell ref="N11:O11"/>
    <mergeCell ref="P11:R11"/>
    <mergeCell ref="S11:W11"/>
    <mergeCell ref="X11:Y11"/>
    <mergeCell ref="N12:O12"/>
    <mergeCell ref="P12:R12"/>
    <mergeCell ref="S12:W12"/>
    <mergeCell ref="X12:Y12"/>
    <mergeCell ref="N13:O13"/>
    <mergeCell ref="P13:R13"/>
    <mergeCell ref="S13:W13"/>
    <mergeCell ref="X13:Y13"/>
    <mergeCell ref="N14:O14"/>
    <mergeCell ref="P14:R14"/>
    <mergeCell ref="S14:W14"/>
    <mergeCell ref="X14:Y14"/>
    <mergeCell ref="N15:O15"/>
    <mergeCell ref="P15:R15"/>
    <mergeCell ref="S15:W15"/>
    <mergeCell ref="X15:Y15"/>
    <mergeCell ref="N16:O16"/>
    <mergeCell ref="P16:R16"/>
    <mergeCell ref="S16:W16"/>
    <mergeCell ref="X16:Y16"/>
    <mergeCell ref="N23:P23"/>
    <mergeCell ref="Q23:S23"/>
    <mergeCell ref="T23:V23"/>
    <mergeCell ref="W23:Z23"/>
    <mergeCell ref="N17:O17"/>
    <mergeCell ref="P17:R17"/>
    <mergeCell ref="S17:W17"/>
    <mergeCell ref="X17:Y17"/>
    <mergeCell ref="N18:O18"/>
    <mergeCell ref="P18:R18"/>
    <mergeCell ref="S18:W18"/>
    <mergeCell ref="X18:Y18"/>
    <mergeCell ref="H24:I24"/>
    <mergeCell ref="J24:M24"/>
    <mergeCell ref="N24:Y24"/>
    <mergeCell ref="G25:M25"/>
    <mergeCell ref="N25:Q25"/>
    <mergeCell ref="R25:T25"/>
    <mergeCell ref="V25:Z25"/>
  </mergeCells>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C15E-DD60-435E-AD29-7A2DAEF05D1C}">
  <dimension ref="C4:F76"/>
  <sheetViews>
    <sheetView showGridLines="0" zoomScale="91" zoomScaleNormal="91" workbookViewId="0">
      <selection activeCell="H16" sqref="H16"/>
    </sheetView>
  </sheetViews>
  <sheetFormatPr defaultRowHeight="12.75" x14ac:dyDescent="0.2"/>
  <cols>
    <col min="3" max="3" width="13.7109375" customWidth="1"/>
    <col min="4" max="4" width="28.7109375" customWidth="1"/>
    <col min="5" max="5" width="20.85546875" customWidth="1"/>
    <col min="6" max="6" width="36.42578125" customWidth="1"/>
    <col min="7" max="11" width="10.5703125" customWidth="1"/>
    <col min="12" max="12" width="11.5703125" customWidth="1"/>
  </cols>
  <sheetData>
    <row r="4" spans="3:6" ht="20.25" x14ac:dyDescent="0.3">
      <c r="C4" s="522" t="s">
        <v>969</v>
      </c>
    </row>
    <row r="6" spans="3:6" x14ac:dyDescent="0.2">
      <c r="C6" s="189" t="s">
        <v>968</v>
      </c>
    </row>
    <row r="8" spans="3:6" ht="20.25" x14ac:dyDescent="0.3">
      <c r="C8" s="522" t="s">
        <v>967</v>
      </c>
    </row>
    <row r="10" spans="3:6" x14ac:dyDescent="0.2">
      <c r="C10" s="189" t="s">
        <v>966</v>
      </c>
      <c r="D10" s="189" t="s">
        <v>965</v>
      </c>
      <c r="E10" s="189" t="s">
        <v>964</v>
      </c>
      <c r="F10" s="189" t="s">
        <v>963</v>
      </c>
    </row>
    <row r="11" spans="3:6" x14ac:dyDescent="0.2">
      <c r="C11" s="523" t="s">
        <v>962</v>
      </c>
      <c r="D11" s="189" t="s">
        <v>760</v>
      </c>
      <c r="E11" s="189" t="s">
        <v>961</v>
      </c>
      <c r="F11" s="523" t="s">
        <v>953</v>
      </c>
    </row>
    <row r="12" spans="3:6" x14ac:dyDescent="0.2">
      <c r="C12" s="523" t="s">
        <v>960</v>
      </c>
      <c r="D12" t="s">
        <v>947</v>
      </c>
      <c r="E12" t="s">
        <v>959</v>
      </c>
      <c r="F12" s="523" t="s">
        <v>953</v>
      </c>
    </row>
    <row r="13" spans="3:6" x14ac:dyDescent="0.2">
      <c r="C13" s="523" t="s">
        <v>958</v>
      </c>
      <c r="D13" t="s">
        <v>942</v>
      </c>
      <c r="E13" t="s">
        <v>954</v>
      </c>
      <c r="F13" s="523" t="s">
        <v>953</v>
      </c>
    </row>
    <row r="14" spans="3:6" x14ac:dyDescent="0.2">
      <c r="C14" s="523" t="s">
        <v>957</v>
      </c>
      <c r="D14" t="s">
        <v>937</v>
      </c>
      <c r="E14" t="s">
        <v>954</v>
      </c>
      <c r="F14" s="523" t="s">
        <v>953</v>
      </c>
    </row>
    <row r="15" spans="3:6" x14ac:dyDescent="0.2">
      <c r="C15" s="523" t="s">
        <v>956</v>
      </c>
      <c r="D15" t="s">
        <v>955</v>
      </c>
      <c r="E15" t="s">
        <v>954</v>
      </c>
      <c r="F15" s="523" t="s">
        <v>953</v>
      </c>
    </row>
    <row r="18" spans="3:3" ht="20.25" x14ac:dyDescent="0.3">
      <c r="C18" s="522" t="s">
        <v>952</v>
      </c>
    </row>
    <row r="20" spans="3:3" ht="17.25" x14ac:dyDescent="0.2">
      <c r="C20" s="521" t="s">
        <v>760</v>
      </c>
    </row>
    <row r="22" spans="3:3" x14ac:dyDescent="0.2">
      <c r="C22" s="429" t="s">
        <v>951</v>
      </c>
    </row>
    <row r="24" spans="3:3" x14ac:dyDescent="0.2">
      <c r="C24" s="429" t="s">
        <v>950</v>
      </c>
    </row>
    <row r="26" spans="3:3" x14ac:dyDescent="0.2">
      <c r="C26" s="429" t="s">
        <v>949</v>
      </c>
    </row>
    <row r="28" spans="3:3" x14ac:dyDescent="0.2">
      <c r="C28" s="429" t="s">
        <v>948</v>
      </c>
    </row>
    <row r="32" spans="3:3" ht="17.25" x14ac:dyDescent="0.2">
      <c r="C32" s="521" t="s">
        <v>947</v>
      </c>
    </row>
    <row r="34" spans="3:3" x14ac:dyDescent="0.2">
      <c r="C34" s="429" t="s">
        <v>946</v>
      </c>
    </row>
    <row r="36" spans="3:3" x14ac:dyDescent="0.2">
      <c r="C36" s="429" t="s">
        <v>945</v>
      </c>
    </row>
    <row r="38" spans="3:3" x14ac:dyDescent="0.2">
      <c r="C38" s="429" t="s">
        <v>944</v>
      </c>
    </row>
    <row r="40" spans="3:3" x14ac:dyDescent="0.2">
      <c r="C40" s="429" t="s">
        <v>943</v>
      </c>
    </row>
    <row r="44" spans="3:3" ht="17.25" x14ac:dyDescent="0.2">
      <c r="C44" s="521" t="s">
        <v>942</v>
      </c>
    </row>
    <row r="46" spans="3:3" x14ac:dyDescent="0.2">
      <c r="C46" s="429" t="s">
        <v>941</v>
      </c>
    </row>
    <row r="48" spans="3:3" x14ac:dyDescent="0.2">
      <c r="C48" s="429" t="s">
        <v>940</v>
      </c>
    </row>
    <row r="50" spans="3:3" x14ac:dyDescent="0.2">
      <c r="C50" s="429" t="s">
        <v>939</v>
      </c>
    </row>
    <row r="52" spans="3:3" x14ac:dyDescent="0.2">
      <c r="C52" s="429" t="s">
        <v>938</v>
      </c>
    </row>
    <row r="56" spans="3:3" ht="17.25" x14ac:dyDescent="0.2">
      <c r="C56" s="521" t="s">
        <v>937</v>
      </c>
    </row>
    <row r="58" spans="3:3" x14ac:dyDescent="0.2">
      <c r="C58" s="429" t="s">
        <v>936</v>
      </c>
    </row>
    <row r="60" spans="3:3" x14ac:dyDescent="0.2">
      <c r="C60" s="429" t="s">
        <v>935</v>
      </c>
    </row>
    <row r="62" spans="3:3" x14ac:dyDescent="0.2">
      <c r="C62" s="429" t="s">
        <v>934</v>
      </c>
    </row>
    <row r="64" spans="3:3" x14ac:dyDescent="0.2">
      <c r="C64" s="429" t="s">
        <v>933</v>
      </c>
    </row>
    <row r="68" spans="3:3" ht="17.25" x14ac:dyDescent="0.2">
      <c r="C68" s="521" t="s">
        <v>932</v>
      </c>
    </row>
    <row r="70" spans="3:3" x14ac:dyDescent="0.2">
      <c r="C70" s="429" t="s">
        <v>931</v>
      </c>
    </row>
    <row r="72" spans="3:3" x14ac:dyDescent="0.2">
      <c r="C72" s="429" t="s">
        <v>930</v>
      </c>
    </row>
    <row r="74" spans="3:3" x14ac:dyDescent="0.2">
      <c r="C74" s="429" t="s">
        <v>929</v>
      </c>
    </row>
    <row r="76" spans="3:3" x14ac:dyDescent="0.2">
      <c r="C76" s="429" t="s">
        <v>928</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F20D3-41D9-4840-A516-F01786DDC2EA}">
  <dimension ref="A1"/>
  <sheetViews>
    <sheetView showGridLines="0" zoomScale="85" zoomScaleNormal="85" workbookViewId="0">
      <selection activeCell="E29" sqref="E29"/>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1B42-BA99-4AAB-91B0-2EF91F331CF1}">
  <dimension ref="B6:AS21"/>
  <sheetViews>
    <sheetView showGridLines="0" topLeftCell="A7" zoomScale="115" zoomScaleNormal="115" workbookViewId="0">
      <selection activeCell="O14" sqref="O14"/>
    </sheetView>
  </sheetViews>
  <sheetFormatPr defaultColWidth="11.42578125" defaultRowHeight="12.75" x14ac:dyDescent="0.2"/>
  <cols>
    <col min="1" max="1" width="3.28515625" style="322" customWidth="1"/>
    <col min="2" max="2" width="4.28515625" style="322" customWidth="1"/>
    <col min="3" max="3" width="11.42578125" style="322" customWidth="1"/>
    <col min="4" max="4" width="10.7109375" style="322" customWidth="1"/>
    <col min="5" max="5" width="2.28515625" style="322" customWidth="1"/>
    <col min="6" max="6" width="4.7109375" style="322" customWidth="1"/>
    <col min="7" max="31" width="3.28515625" style="322" customWidth="1"/>
    <col min="32" max="256" width="11.42578125" style="322"/>
    <col min="257" max="257" width="3.28515625" style="322" customWidth="1"/>
    <col min="258" max="258" width="4.28515625" style="322" customWidth="1"/>
    <col min="259" max="260" width="11.42578125" style="322"/>
    <col min="261" max="261" width="1" style="322" customWidth="1"/>
    <col min="262" max="262" width="2.28515625" style="322" customWidth="1"/>
    <col min="263" max="287" width="3.28515625" style="322" customWidth="1"/>
    <col min="288" max="512" width="11.42578125" style="322"/>
    <col min="513" max="513" width="3.28515625" style="322" customWidth="1"/>
    <col min="514" max="514" width="4.28515625" style="322" customWidth="1"/>
    <col min="515" max="516" width="11.42578125" style="322"/>
    <col min="517" max="517" width="1" style="322" customWidth="1"/>
    <col min="518" max="518" width="2.28515625" style="322" customWidth="1"/>
    <col min="519" max="543" width="3.28515625" style="322" customWidth="1"/>
    <col min="544" max="768" width="11.42578125" style="322"/>
    <col min="769" max="769" width="3.28515625" style="322" customWidth="1"/>
    <col min="770" max="770" width="4.28515625" style="322" customWidth="1"/>
    <col min="771" max="772" width="11.42578125" style="322"/>
    <col min="773" max="773" width="1" style="322" customWidth="1"/>
    <col min="774" max="774" width="2.28515625" style="322" customWidth="1"/>
    <col min="775" max="799" width="3.28515625" style="322" customWidth="1"/>
    <col min="800" max="1024" width="11.42578125" style="322"/>
    <col min="1025" max="1025" width="3.28515625" style="322" customWidth="1"/>
    <col min="1026" max="1026" width="4.28515625" style="322" customWidth="1"/>
    <col min="1027" max="1028" width="11.42578125" style="322"/>
    <col min="1029" max="1029" width="1" style="322" customWidth="1"/>
    <col min="1030" max="1030" width="2.28515625" style="322" customWidth="1"/>
    <col min="1031" max="1055" width="3.28515625" style="322" customWidth="1"/>
    <col min="1056" max="1280" width="11.42578125" style="322"/>
    <col min="1281" max="1281" width="3.28515625" style="322" customWidth="1"/>
    <col min="1282" max="1282" width="4.28515625" style="322" customWidth="1"/>
    <col min="1283" max="1284" width="11.42578125" style="322"/>
    <col min="1285" max="1285" width="1" style="322" customWidth="1"/>
    <col min="1286" max="1286" width="2.28515625" style="322" customWidth="1"/>
    <col min="1287" max="1311" width="3.28515625" style="322" customWidth="1"/>
    <col min="1312" max="1536" width="11.42578125" style="322"/>
    <col min="1537" max="1537" width="3.28515625" style="322" customWidth="1"/>
    <col min="1538" max="1538" width="4.28515625" style="322" customWidth="1"/>
    <col min="1539" max="1540" width="11.42578125" style="322"/>
    <col min="1541" max="1541" width="1" style="322" customWidth="1"/>
    <col min="1542" max="1542" width="2.28515625" style="322" customWidth="1"/>
    <col min="1543" max="1567" width="3.28515625" style="322" customWidth="1"/>
    <col min="1568" max="1792" width="11.42578125" style="322"/>
    <col min="1793" max="1793" width="3.28515625" style="322" customWidth="1"/>
    <col min="1794" max="1794" width="4.28515625" style="322" customWidth="1"/>
    <col min="1795" max="1796" width="11.42578125" style="322"/>
    <col min="1797" max="1797" width="1" style="322" customWidth="1"/>
    <col min="1798" max="1798" width="2.28515625" style="322" customWidth="1"/>
    <col min="1799" max="1823" width="3.28515625" style="322" customWidth="1"/>
    <col min="1824" max="2048" width="11.42578125" style="322"/>
    <col min="2049" max="2049" width="3.28515625" style="322" customWidth="1"/>
    <col min="2050" max="2050" width="4.28515625" style="322" customWidth="1"/>
    <col min="2051" max="2052" width="11.42578125" style="322"/>
    <col min="2053" max="2053" width="1" style="322" customWidth="1"/>
    <col min="2054" max="2054" width="2.28515625" style="322" customWidth="1"/>
    <col min="2055" max="2079" width="3.28515625" style="322" customWidth="1"/>
    <col min="2080" max="2304" width="11.42578125" style="322"/>
    <col min="2305" max="2305" width="3.28515625" style="322" customWidth="1"/>
    <col min="2306" max="2306" width="4.28515625" style="322" customWidth="1"/>
    <col min="2307" max="2308" width="11.42578125" style="322"/>
    <col min="2309" max="2309" width="1" style="322" customWidth="1"/>
    <col min="2310" max="2310" width="2.28515625" style="322" customWidth="1"/>
    <col min="2311" max="2335" width="3.28515625" style="322" customWidth="1"/>
    <col min="2336" max="2560" width="11.42578125" style="322"/>
    <col min="2561" max="2561" width="3.28515625" style="322" customWidth="1"/>
    <col min="2562" max="2562" width="4.28515625" style="322" customWidth="1"/>
    <col min="2563" max="2564" width="11.42578125" style="322"/>
    <col min="2565" max="2565" width="1" style="322" customWidth="1"/>
    <col min="2566" max="2566" width="2.28515625" style="322" customWidth="1"/>
    <col min="2567" max="2591" width="3.28515625" style="322" customWidth="1"/>
    <col min="2592" max="2816" width="11.42578125" style="322"/>
    <col min="2817" max="2817" width="3.28515625" style="322" customWidth="1"/>
    <col min="2818" max="2818" width="4.28515625" style="322" customWidth="1"/>
    <col min="2819" max="2820" width="11.42578125" style="322"/>
    <col min="2821" max="2821" width="1" style="322" customWidth="1"/>
    <col min="2822" max="2822" width="2.28515625" style="322" customWidth="1"/>
    <col min="2823" max="2847" width="3.28515625" style="322" customWidth="1"/>
    <col min="2848" max="3072" width="11.42578125" style="322"/>
    <col min="3073" max="3073" width="3.28515625" style="322" customWidth="1"/>
    <col min="3074" max="3074" width="4.28515625" style="322" customWidth="1"/>
    <col min="3075" max="3076" width="11.42578125" style="322"/>
    <col min="3077" max="3077" width="1" style="322" customWidth="1"/>
    <col min="3078" max="3078" width="2.28515625" style="322" customWidth="1"/>
    <col min="3079" max="3103" width="3.28515625" style="322" customWidth="1"/>
    <col min="3104" max="3328" width="11.42578125" style="322"/>
    <col min="3329" max="3329" width="3.28515625" style="322" customWidth="1"/>
    <col min="3330" max="3330" width="4.28515625" style="322" customWidth="1"/>
    <col min="3331" max="3332" width="11.42578125" style="322"/>
    <col min="3333" max="3333" width="1" style="322" customWidth="1"/>
    <col min="3334" max="3334" width="2.28515625" style="322" customWidth="1"/>
    <col min="3335" max="3359" width="3.28515625" style="322" customWidth="1"/>
    <col min="3360" max="3584" width="11.42578125" style="322"/>
    <col min="3585" max="3585" width="3.28515625" style="322" customWidth="1"/>
    <col min="3586" max="3586" width="4.28515625" style="322" customWidth="1"/>
    <col min="3587" max="3588" width="11.42578125" style="322"/>
    <col min="3589" max="3589" width="1" style="322" customWidth="1"/>
    <col min="3590" max="3590" width="2.28515625" style="322" customWidth="1"/>
    <col min="3591" max="3615" width="3.28515625" style="322" customWidth="1"/>
    <col min="3616" max="3840" width="11.42578125" style="322"/>
    <col min="3841" max="3841" width="3.28515625" style="322" customWidth="1"/>
    <col min="3842" max="3842" width="4.28515625" style="322" customWidth="1"/>
    <col min="3843" max="3844" width="11.42578125" style="322"/>
    <col min="3845" max="3845" width="1" style="322" customWidth="1"/>
    <col min="3846" max="3846" width="2.28515625" style="322" customWidth="1"/>
    <col min="3847" max="3871" width="3.28515625" style="322" customWidth="1"/>
    <col min="3872" max="4096" width="11.42578125" style="322"/>
    <col min="4097" max="4097" width="3.28515625" style="322" customWidth="1"/>
    <col min="4098" max="4098" width="4.28515625" style="322" customWidth="1"/>
    <col min="4099" max="4100" width="11.42578125" style="322"/>
    <col min="4101" max="4101" width="1" style="322" customWidth="1"/>
    <col min="4102" max="4102" width="2.28515625" style="322" customWidth="1"/>
    <col min="4103" max="4127" width="3.28515625" style="322" customWidth="1"/>
    <col min="4128" max="4352" width="11.42578125" style="322"/>
    <col min="4353" max="4353" width="3.28515625" style="322" customWidth="1"/>
    <col min="4354" max="4354" width="4.28515625" style="322" customWidth="1"/>
    <col min="4355" max="4356" width="11.42578125" style="322"/>
    <col min="4357" max="4357" width="1" style="322" customWidth="1"/>
    <col min="4358" max="4358" width="2.28515625" style="322" customWidth="1"/>
    <col min="4359" max="4383" width="3.28515625" style="322" customWidth="1"/>
    <col min="4384" max="4608" width="11.42578125" style="322"/>
    <col min="4609" max="4609" width="3.28515625" style="322" customWidth="1"/>
    <col min="4610" max="4610" width="4.28515625" style="322" customWidth="1"/>
    <col min="4611" max="4612" width="11.42578125" style="322"/>
    <col min="4613" max="4613" width="1" style="322" customWidth="1"/>
    <col min="4614" max="4614" width="2.28515625" style="322" customWidth="1"/>
    <col min="4615" max="4639" width="3.28515625" style="322" customWidth="1"/>
    <col min="4640" max="4864" width="11.42578125" style="322"/>
    <col min="4865" max="4865" width="3.28515625" style="322" customWidth="1"/>
    <col min="4866" max="4866" width="4.28515625" style="322" customWidth="1"/>
    <col min="4867" max="4868" width="11.42578125" style="322"/>
    <col min="4869" max="4869" width="1" style="322" customWidth="1"/>
    <col min="4870" max="4870" width="2.28515625" style="322" customWidth="1"/>
    <col min="4871" max="4895" width="3.28515625" style="322" customWidth="1"/>
    <col min="4896" max="5120" width="11.42578125" style="322"/>
    <col min="5121" max="5121" width="3.28515625" style="322" customWidth="1"/>
    <col min="5122" max="5122" width="4.28515625" style="322" customWidth="1"/>
    <col min="5123" max="5124" width="11.42578125" style="322"/>
    <col min="5125" max="5125" width="1" style="322" customWidth="1"/>
    <col min="5126" max="5126" width="2.28515625" style="322" customWidth="1"/>
    <col min="5127" max="5151" width="3.28515625" style="322" customWidth="1"/>
    <col min="5152" max="5376" width="11.42578125" style="322"/>
    <col min="5377" max="5377" width="3.28515625" style="322" customWidth="1"/>
    <col min="5378" max="5378" width="4.28515625" style="322" customWidth="1"/>
    <col min="5379" max="5380" width="11.42578125" style="322"/>
    <col min="5381" max="5381" width="1" style="322" customWidth="1"/>
    <col min="5382" max="5382" width="2.28515625" style="322" customWidth="1"/>
    <col min="5383" max="5407" width="3.28515625" style="322" customWidth="1"/>
    <col min="5408" max="5632" width="11.42578125" style="322"/>
    <col min="5633" max="5633" width="3.28515625" style="322" customWidth="1"/>
    <col min="5634" max="5634" width="4.28515625" style="322" customWidth="1"/>
    <col min="5635" max="5636" width="11.42578125" style="322"/>
    <col min="5637" max="5637" width="1" style="322" customWidth="1"/>
    <col min="5638" max="5638" width="2.28515625" style="322" customWidth="1"/>
    <col min="5639" max="5663" width="3.28515625" style="322" customWidth="1"/>
    <col min="5664" max="5888" width="11.42578125" style="322"/>
    <col min="5889" max="5889" width="3.28515625" style="322" customWidth="1"/>
    <col min="5890" max="5890" width="4.28515625" style="322" customWidth="1"/>
    <col min="5891" max="5892" width="11.42578125" style="322"/>
    <col min="5893" max="5893" width="1" style="322" customWidth="1"/>
    <col min="5894" max="5894" width="2.28515625" style="322" customWidth="1"/>
    <col min="5895" max="5919" width="3.28515625" style="322" customWidth="1"/>
    <col min="5920" max="6144" width="11.42578125" style="322"/>
    <col min="6145" max="6145" width="3.28515625" style="322" customWidth="1"/>
    <col min="6146" max="6146" width="4.28515625" style="322" customWidth="1"/>
    <col min="6147" max="6148" width="11.42578125" style="322"/>
    <col min="6149" max="6149" width="1" style="322" customWidth="1"/>
    <col min="6150" max="6150" width="2.28515625" style="322" customWidth="1"/>
    <col min="6151" max="6175" width="3.28515625" style="322" customWidth="1"/>
    <col min="6176" max="6400" width="11.42578125" style="322"/>
    <col min="6401" max="6401" width="3.28515625" style="322" customWidth="1"/>
    <col min="6402" max="6402" width="4.28515625" style="322" customWidth="1"/>
    <col min="6403" max="6404" width="11.42578125" style="322"/>
    <col min="6405" max="6405" width="1" style="322" customWidth="1"/>
    <col min="6406" max="6406" width="2.28515625" style="322" customWidth="1"/>
    <col min="6407" max="6431" width="3.28515625" style="322" customWidth="1"/>
    <col min="6432" max="6656" width="11.42578125" style="322"/>
    <col min="6657" max="6657" width="3.28515625" style="322" customWidth="1"/>
    <col min="6658" max="6658" width="4.28515625" style="322" customWidth="1"/>
    <col min="6659" max="6660" width="11.42578125" style="322"/>
    <col min="6661" max="6661" width="1" style="322" customWidth="1"/>
    <col min="6662" max="6662" width="2.28515625" style="322" customWidth="1"/>
    <col min="6663" max="6687" width="3.28515625" style="322" customWidth="1"/>
    <col min="6688" max="6912" width="11.42578125" style="322"/>
    <col min="6913" max="6913" width="3.28515625" style="322" customWidth="1"/>
    <col min="6914" max="6914" width="4.28515625" style="322" customWidth="1"/>
    <col min="6915" max="6916" width="11.42578125" style="322"/>
    <col min="6917" max="6917" width="1" style="322" customWidth="1"/>
    <col min="6918" max="6918" width="2.28515625" style="322" customWidth="1"/>
    <col min="6919" max="6943" width="3.28515625" style="322" customWidth="1"/>
    <col min="6944" max="7168" width="11.42578125" style="322"/>
    <col min="7169" max="7169" width="3.28515625" style="322" customWidth="1"/>
    <col min="7170" max="7170" width="4.28515625" style="322" customWidth="1"/>
    <col min="7171" max="7172" width="11.42578125" style="322"/>
    <col min="7173" max="7173" width="1" style="322" customWidth="1"/>
    <col min="7174" max="7174" width="2.28515625" style="322" customWidth="1"/>
    <col min="7175" max="7199" width="3.28515625" style="322" customWidth="1"/>
    <col min="7200" max="7424" width="11.42578125" style="322"/>
    <col min="7425" max="7425" width="3.28515625" style="322" customWidth="1"/>
    <col min="7426" max="7426" width="4.28515625" style="322" customWidth="1"/>
    <col min="7427" max="7428" width="11.42578125" style="322"/>
    <col min="7429" max="7429" width="1" style="322" customWidth="1"/>
    <col min="7430" max="7430" width="2.28515625" style="322" customWidth="1"/>
    <col min="7431" max="7455" width="3.28515625" style="322" customWidth="1"/>
    <col min="7456" max="7680" width="11.42578125" style="322"/>
    <col min="7681" max="7681" width="3.28515625" style="322" customWidth="1"/>
    <col min="7682" max="7682" width="4.28515625" style="322" customWidth="1"/>
    <col min="7683" max="7684" width="11.42578125" style="322"/>
    <col min="7685" max="7685" width="1" style="322" customWidth="1"/>
    <col min="7686" max="7686" width="2.28515625" style="322" customWidth="1"/>
    <col min="7687" max="7711" width="3.28515625" style="322" customWidth="1"/>
    <col min="7712" max="7936" width="11.42578125" style="322"/>
    <col min="7937" max="7937" width="3.28515625" style="322" customWidth="1"/>
    <col min="7938" max="7938" width="4.28515625" style="322" customWidth="1"/>
    <col min="7939" max="7940" width="11.42578125" style="322"/>
    <col min="7941" max="7941" width="1" style="322" customWidth="1"/>
    <col min="7942" max="7942" width="2.28515625" style="322" customWidth="1"/>
    <col min="7943" max="7967" width="3.28515625" style="322" customWidth="1"/>
    <col min="7968" max="8192" width="11.42578125" style="322"/>
    <col min="8193" max="8193" width="3.28515625" style="322" customWidth="1"/>
    <col min="8194" max="8194" width="4.28515625" style="322" customWidth="1"/>
    <col min="8195" max="8196" width="11.42578125" style="322"/>
    <col min="8197" max="8197" width="1" style="322" customWidth="1"/>
    <col min="8198" max="8198" width="2.28515625" style="322" customWidth="1"/>
    <col min="8199" max="8223" width="3.28515625" style="322" customWidth="1"/>
    <col min="8224" max="8448" width="11.42578125" style="322"/>
    <col min="8449" max="8449" width="3.28515625" style="322" customWidth="1"/>
    <col min="8450" max="8450" width="4.28515625" style="322" customWidth="1"/>
    <col min="8451" max="8452" width="11.42578125" style="322"/>
    <col min="8453" max="8453" width="1" style="322" customWidth="1"/>
    <col min="8454" max="8454" width="2.28515625" style="322" customWidth="1"/>
    <col min="8455" max="8479" width="3.28515625" style="322" customWidth="1"/>
    <col min="8480" max="8704" width="11.42578125" style="322"/>
    <col min="8705" max="8705" width="3.28515625" style="322" customWidth="1"/>
    <col min="8706" max="8706" width="4.28515625" style="322" customWidth="1"/>
    <col min="8707" max="8708" width="11.42578125" style="322"/>
    <col min="8709" max="8709" width="1" style="322" customWidth="1"/>
    <col min="8710" max="8710" width="2.28515625" style="322" customWidth="1"/>
    <col min="8711" max="8735" width="3.28515625" style="322" customWidth="1"/>
    <col min="8736" max="8960" width="11.42578125" style="322"/>
    <col min="8961" max="8961" width="3.28515625" style="322" customWidth="1"/>
    <col min="8962" max="8962" width="4.28515625" style="322" customWidth="1"/>
    <col min="8963" max="8964" width="11.42578125" style="322"/>
    <col min="8965" max="8965" width="1" style="322" customWidth="1"/>
    <col min="8966" max="8966" width="2.28515625" style="322" customWidth="1"/>
    <col min="8967" max="8991" width="3.28515625" style="322" customWidth="1"/>
    <col min="8992" max="9216" width="11.42578125" style="322"/>
    <col min="9217" max="9217" width="3.28515625" style="322" customWidth="1"/>
    <col min="9218" max="9218" width="4.28515625" style="322" customWidth="1"/>
    <col min="9219" max="9220" width="11.42578125" style="322"/>
    <col min="9221" max="9221" width="1" style="322" customWidth="1"/>
    <col min="9222" max="9222" width="2.28515625" style="322" customWidth="1"/>
    <col min="9223" max="9247" width="3.28515625" style="322" customWidth="1"/>
    <col min="9248" max="9472" width="11.42578125" style="322"/>
    <col min="9473" max="9473" width="3.28515625" style="322" customWidth="1"/>
    <col min="9474" max="9474" width="4.28515625" style="322" customWidth="1"/>
    <col min="9475" max="9476" width="11.42578125" style="322"/>
    <col min="9477" max="9477" width="1" style="322" customWidth="1"/>
    <col min="9478" max="9478" width="2.28515625" style="322" customWidth="1"/>
    <col min="9479" max="9503" width="3.28515625" style="322" customWidth="1"/>
    <col min="9504" max="9728" width="11.42578125" style="322"/>
    <col min="9729" max="9729" width="3.28515625" style="322" customWidth="1"/>
    <col min="9730" max="9730" width="4.28515625" style="322" customWidth="1"/>
    <col min="9731" max="9732" width="11.42578125" style="322"/>
    <col min="9733" max="9733" width="1" style="322" customWidth="1"/>
    <col min="9734" max="9734" width="2.28515625" style="322" customWidth="1"/>
    <col min="9735" max="9759" width="3.28515625" style="322" customWidth="1"/>
    <col min="9760" max="9984" width="11.42578125" style="322"/>
    <col min="9985" max="9985" width="3.28515625" style="322" customWidth="1"/>
    <col min="9986" max="9986" width="4.28515625" style="322" customWidth="1"/>
    <col min="9987" max="9988" width="11.42578125" style="322"/>
    <col min="9989" max="9989" width="1" style="322" customWidth="1"/>
    <col min="9990" max="9990" width="2.28515625" style="322" customWidth="1"/>
    <col min="9991" max="10015" width="3.28515625" style="322" customWidth="1"/>
    <col min="10016" max="10240" width="11.42578125" style="322"/>
    <col min="10241" max="10241" width="3.28515625" style="322" customWidth="1"/>
    <col min="10242" max="10242" width="4.28515625" style="322" customWidth="1"/>
    <col min="10243" max="10244" width="11.42578125" style="322"/>
    <col min="10245" max="10245" width="1" style="322" customWidth="1"/>
    <col min="10246" max="10246" width="2.28515625" style="322" customWidth="1"/>
    <col min="10247" max="10271" width="3.28515625" style="322" customWidth="1"/>
    <col min="10272" max="10496" width="11.42578125" style="322"/>
    <col min="10497" max="10497" width="3.28515625" style="322" customWidth="1"/>
    <col min="10498" max="10498" width="4.28515625" style="322" customWidth="1"/>
    <col min="10499" max="10500" width="11.42578125" style="322"/>
    <col min="10501" max="10501" width="1" style="322" customWidth="1"/>
    <col min="10502" max="10502" width="2.28515625" style="322" customWidth="1"/>
    <col min="10503" max="10527" width="3.28515625" style="322" customWidth="1"/>
    <col min="10528" max="10752" width="11.42578125" style="322"/>
    <col min="10753" max="10753" width="3.28515625" style="322" customWidth="1"/>
    <col min="10754" max="10754" width="4.28515625" style="322" customWidth="1"/>
    <col min="10755" max="10756" width="11.42578125" style="322"/>
    <col min="10757" max="10757" width="1" style="322" customWidth="1"/>
    <col min="10758" max="10758" width="2.28515625" style="322" customWidth="1"/>
    <col min="10759" max="10783" width="3.28515625" style="322" customWidth="1"/>
    <col min="10784" max="11008" width="11.42578125" style="322"/>
    <col min="11009" max="11009" width="3.28515625" style="322" customWidth="1"/>
    <col min="11010" max="11010" width="4.28515625" style="322" customWidth="1"/>
    <col min="11011" max="11012" width="11.42578125" style="322"/>
    <col min="11013" max="11013" width="1" style="322" customWidth="1"/>
    <col min="11014" max="11014" width="2.28515625" style="322" customWidth="1"/>
    <col min="11015" max="11039" width="3.28515625" style="322" customWidth="1"/>
    <col min="11040" max="11264" width="11.42578125" style="322"/>
    <col min="11265" max="11265" width="3.28515625" style="322" customWidth="1"/>
    <col min="11266" max="11266" width="4.28515625" style="322" customWidth="1"/>
    <col min="11267" max="11268" width="11.42578125" style="322"/>
    <col min="11269" max="11269" width="1" style="322" customWidth="1"/>
    <col min="11270" max="11270" width="2.28515625" style="322" customWidth="1"/>
    <col min="11271" max="11295" width="3.28515625" style="322" customWidth="1"/>
    <col min="11296" max="11520" width="11.42578125" style="322"/>
    <col min="11521" max="11521" width="3.28515625" style="322" customWidth="1"/>
    <col min="11522" max="11522" width="4.28515625" style="322" customWidth="1"/>
    <col min="11523" max="11524" width="11.42578125" style="322"/>
    <col min="11525" max="11525" width="1" style="322" customWidth="1"/>
    <col min="11526" max="11526" width="2.28515625" style="322" customWidth="1"/>
    <col min="11527" max="11551" width="3.28515625" style="322" customWidth="1"/>
    <col min="11552" max="11776" width="11.42578125" style="322"/>
    <col min="11777" max="11777" width="3.28515625" style="322" customWidth="1"/>
    <col min="11778" max="11778" width="4.28515625" style="322" customWidth="1"/>
    <col min="11779" max="11780" width="11.42578125" style="322"/>
    <col min="11781" max="11781" width="1" style="322" customWidth="1"/>
    <col min="11782" max="11782" width="2.28515625" style="322" customWidth="1"/>
    <col min="11783" max="11807" width="3.28515625" style="322" customWidth="1"/>
    <col min="11808" max="12032" width="11.42578125" style="322"/>
    <col min="12033" max="12033" width="3.28515625" style="322" customWidth="1"/>
    <col min="12034" max="12034" width="4.28515625" style="322" customWidth="1"/>
    <col min="12035" max="12036" width="11.42578125" style="322"/>
    <col min="12037" max="12037" width="1" style="322" customWidth="1"/>
    <col min="12038" max="12038" width="2.28515625" style="322" customWidth="1"/>
    <col min="12039" max="12063" width="3.28515625" style="322" customWidth="1"/>
    <col min="12064" max="12288" width="11.42578125" style="322"/>
    <col min="12289" max="12289" width="3.28515625" style="322" customWidth="1"/>
    <col min="12290" max="12290" width="4.28515625" style="322" customWidth="1"/>
    <col min="12291" max="12292" width="11.42578125" style="322"/>
    <col min="12293" max="12293" width="1" style="322" customWidth="1"/>
    <col min="12294" max="12294" width="2.28515625" style="322" customWidth="1"/>
    <col min="12295" max="12319" width="3.28515625" style="322" customWidth="1"/>
    <col min="12320" max="12544" width="11.42578125" style="322"/>
    <col min="12545" max="12545" width="3.28515625" style="322" customWidth="1"/>
    <col min="12546" max="12546" width="4.28515625" style="322" customWidth="1"/>
    <col min="12547" max="12548" width="11.42578125" style="322"/>
    <col min="12549" max="12549" width="1" style="322" customWidth="1"/>
    <col min="12550" max="12550" width="2.28515625" style="322" customWidth="1"/>
    <col min="12551" max="12575" width="3.28515625" style="322" customWidth="1"/>
    <col min="12576" max="12800" width="11.42578125" style="322"/>
    <col min="12801" max="12801" width="3.28515625" style="322" customWidth="1"/>
    <col min="12802" max="12802" width="4.28515625" style="322" customWidth="1"/>
    <col min="12803" max="12804" width="11.42578125" style="322"/>
    <col min="12805" max="12805" width="1" style="322" customWidth="1"/>
    <col min="12806" max="12806" width="2.28515625" style="322" customWidth="1"/>
    <col min="12807" max="12831" width="3.28515625" style="322" customWidth="1"/>
    <col min="12832" max="13056" width="11.42578125" style="322"/>
    <col min="13057" max="13057" width="3.28515625" style="322" customWidth="1"/>
    <col min="13058" max="13058" width="4.28515625" style="322" customWidth="1"/>
    <col min="13059" max="13060" width="11.42578125" style="322"/>
    <col min="13061" max="13061" width="1" style="322" customWidth="1"/>
    <col min="13062" max="13062" width="2.28515625" style="322" customWidth="1"/>
    <col min="13063" max="13087" width="3.28515625" style="322" customWidth="1"/>
    <col min="13088" max="13312" width="11.42578125" style="322"/>
    <col min="13313" max="13313" width="3.28515625" style="322" customWidth="1"/>
    <col min="13314" max="13314" width="4.28515625" style="322" customWidth="1"/>
    <col min="13315" max="13316" width="11.42578125" style="322"/>
    <col min="13317" max="13317" width="1" style="322" customWidth="1"/>
    <col min="13318" max="13318" width="2.28515625" style="322" customWidth="1"/>
    <col min="13319" max="13343" width="3.28515625" style="322" customWidth="1"/>
    <col min="13344" max="13568" width="11.42578125" style="322"/>
    <col min="13569" max="13569" width="3.28515625" style="322" customWidth="1"/>
    <col min="13570" max="13570" width="4.28515625" style="322" customWidth="1"/>
    <col min="13571" max="13572" width="11.42578125" style="322"/>
    <col min="13573" max="13573" width="1" style="322" customWidth="1"/>
    <col min="13574" max="13574" width="2.28515625" style="322" customWidth="1"/>
    <col min="13575" max="13599" width="3.28515625" style="322" customWidth="1"/>
    <col min="13600" max="13824" width="11.42578125" style="322"/>
    <col min="13825" max="13825" width="3.28515625" style="322" customWidth="1"/>
    <col min="13826" max="13826" width="4.28515625" style="322" customWidth="1"/>
    <col min="13827" max="13828" width="11.42578125" style="322"/>
    <col min="13829" max="13829" width="1" style="322" customWidth="1"/>
    <col min="13830" max="13830" width="2.28515625" style="322" customWidth="1"/>
    <col min="13831" max="13855" width="3.28515625" style="322" customWidth="1"/>
    <col min="13856" max="14080" width="11.42578125" style="322"/>
    <col min="14081" max="14081" width="3.28515625" style="322" customWidth="1"/>
    <col min="14082" max="14082" width="4.28515625" style="322" customWidth="1"/>
    <col min="14083" max="14084" width="11.42578125" style="322"/>
    <col min="14085" max="14085" width="1" style="322" customWidth="1"/>
    <col min="14086" max="14086" width="2.28515625" style="322" customWidth="1"/>
    <col min="14087" max="14111" width="3.28515625" style="322" customWidth="1"/>
    <col min="14112" max="14336" width="11.42578125" style="322"/>
    <col min="14337" max="14337" width="3.28515625" style="322" customWidth="1"/>
    <col min="14338" max="14338" width="4.28515625" style="322" customWidth="1"/>
    <col min="14339" max="14340" width="11.42578125" style="322"/>
    <col min="14341" max="14341" width="1" style="322" customWidth="1"/>
    <col min="14342" max="14342" width="2.28515625" style="322" customWidth="1"/>
    <col min="14343" max="14367" width="3.28515625" style="322" customWidth="1"/>
    <col min="14368" max="14592" width="11.42578125" style="322"/>
    <col min="14593" max="14593" width="3.28515625" style="322" customWidth="1"/>
    <col min="14594" max="14594" width="4.28515625" style="322" customWidth="1"/>
    <col min="14595" max="14596" width="11.42578125" style="322"/>
    <col min="14597" max="14597" width="1" style="322" customWidth="1"/>
    <col min="14598" max="14598" width="2.28515625" style="322" customWidth="1"/>
    <col min="14599" max="14623" width="3.28515625" style="322" customWidth="1"/>
    <col min="14624" max="14848" width="11.42578125" style="322"/>
    <col min="14849" max="14849" width="3.28515625" style="322" customWidth="1"/>
    <col min="14850" max="14850" width="4.28515625" style="322" customWidth="1"/>
    <col min="14851" max="14852" width="11.42578125" style="322"/>
    <col min="14853" max="14853" width="1" style="322" customWidth="1"/>
    <col min="14854" max="14854" width="2.28515625" style="322" customWidth="1"/>
    <col min="14855" max="14879" width="3.28515625" style="322" customWidth="1"/>
    <col min="14880" max="15104" width="11.42578125" style="322"/>
    <col min="15105" max="15105" width="3.28515625" style="322" customWidth="1"/>
    <col min="15106" max="15106" width="4.28515625" style="322" customWidth="1"/>
    <col min="15107" max="15108" width="11.42578125" style="322"/>
    <col min="15109" max="15109" width="1" style="322" customWidth="1"/>
    <col min="15110" max="15110" width="2.28515625" style="322" customWidth="1"/>
    <col min="15111" max="15135" width="3.28515625" style="322" customWidth="1"/>
    <col min="15136" max="15360" width="11.42578125" style="322"/>
    <col min="15361" max="15361" width="3.28515625" style="322" customWidth="1"/>
    <col min="15362" max="15362" width="4.28515625" style="322" customWidth="1"/>
    <col min="15363" max="15364" width="11.42578125" style="322"/>
    <col min="15365" max="15365" width="1" style="322" customWidth="1"/>
    <col min="15366" max="15366" width="2.28515625" style="322" customWidth="1"/>
    <col min="15367" max="15391" width="3.28515625" style="322" customWidth="1"/>
    <col min="15392" max="15616" width="11.42578125" style="322"/>
    <col min="15617" max="15617" width="3.28515625" style="322" customWidth="1"/>
    <col min="15618" max="15618" width="4.28515625" style="322" customWidth="1"/>
    <col min="15619" max="15620" width="11.42578125" style="322"/>
    <col min="15621" max="15621" width="1" style="322" customWidth="1"/>
    <col min="15622" max="15622" width="2.28515625" style="322" customWidth="1"/>
    <col min="15623" max="15647" width="3.28515625" style="322" customWidth="1"/>
    <col min="15648" max="15872" width="11.42578125" style="322"/>
    <col min="15873" max="15873" width="3.28515625" style="322" customWidth="1"/>
    <col min="15874" max="15874" width="4.28515625" style="322" customWidth="1"/>
    <col min="15875" max="15876" width="11.42578125" style="322"/>
    <col min="15877" max="15877" width="1" style="322" customWidth="1"/>
    <col min="15878" max="15878" width="2.28515625" style="322" customWidth="1"/>
    <col min="15879" max="15903" width="3.28515625" style="322" customWidth="1"/>
    <col min="15904" max="16128" width="11.42578125" style="322"/>
    <col min="16129" max="16129" width="3.28515625" style="322" customWidth="1"/>
    <col min="16130" max="16130" width="4.28515625" style="322" customWidth="1"/>
    <col min="16131" max="16132" width="11.42578125" style="322"/>
    <col min="16133" max="16133" width="1" style="322" customWidth="1"/>
    <col min="16134" max="16134" width="2.28515625" style="322" customWidth="1"/>
    <col min="16135" max="16159" width="3.28515625" style="322" customWidth="1"/>
    <col min="16160" max="16384" width="11.42578125" style="322"/>
  </cols>
  <sheetData>
    <row r="6" spans="2:45" ht="15.75" x14ac:dyDescent="0.2">
      <c r="C6" s="564"/>
      <c r="J6" s="564"/>
      <c r="K6" s="564"/>
    </row>
    <row r="8" spans="2:45" ht="19.5" thickBot="1" x14ac:dyDescent="0.35">
      <c r="B8" s="563" t="s">
        <v>1005</v>
      </c>
      <c r="C8" s="562"/>
      <c r="D8" s="562"/>
      <c r="F8" s="540"/>
      <c r="G8" s="561" t="s">
        <v>1004</v>
      </c>
      <c r="H8" s="560"/>
      <c r="I8" s="560"/>
      <c r="J8" s="560"/>
      <c r="K8" s="560"/>
      <c r="L8" s="560"/>
      <c r="M8" s="560"/>
      <c r="N8" s="560"/>
      <c r="O8" s="560"/>
      <c r="P8" s="560"/>
      <c r="Q8" s="560"/>
      <c r="W8" s="535"/>
    </row>
    <row r="9" spans="2:45" ht="20.100000000000001" customHeight="1" x14ac:dyDescent="0.3">
      <c r="B9" s="559">
        <v>0</v>
      </c>
      <c r="C9" s="558" t="s">
        <v>1003</v>
      </c>
      <c r="D9" s="557"/>
      <c r="F9" s="540"/>
      <c r="G9" s="556"/>
      <c r="H9" s="556"/>
      <c r="I9" s="556"/>
      <c r="J9" s="556" t="s">
        <v>595</v>
      </c>
      <c r="K9" s="556"/>
      <c r="L9" s="556"/>
      <c r="M9" s="556"/>
      <c r="N9" s="556"/>
      <c r="O9" s="556"/>
      <c r="P9" s="556"/>
      <c r="Q9" s="556"/>
      <c r="R9" s="556"/>
      <c r="S9" s="556"/>
      <c r="T9" s="556"/>
      <c r="U9" s="556"/>
      <c r="V9" s="556"/>
      <c r="W9" s="555"/>
      <c r="X9" s="554"/>
    </row>
    <row r="10" spans="2:45" ht="14.25" customHeight="1" x14ac:dyDescent="0.3">
      <c r="B10" s="553">
        <v>2</v>
      </c>
      <c r="C10" s="552" t="s">
        <v>1002</v>
      </c>
      <c r="D10" s="551"/>
      <c r="F10" s="540"/>
      <c r="G10" s="544" t="s">
        <v>1001</v>
      </c>
    </row>
    <row r="11" spans="2:45" ht="14.25" customHeight="1" x14ac:dyDescent="0.3">
      <c r="B11" s="550">
        <v>5</v>
      </c>
      <c r="C11" s="549" t="s">
        <v>1000</v>
      </c>
      <c r="D11" s="548"/>
      <c r="F11" s="540"/>
      <c r="G11" s="544" t="s">
        <v>999</v>
      </c>
      <c r="H11" s="544"/>
      <c r="W11" s="535"/>
    </row>
    <row r="12" spans="2:45" ht="15" customHeight="1" thickBot="1" x14ac:dyDescent="0.35">
      <c r="B12" s="547">
        <v>8</v>
      </c>
      <c r="C12" s="546" t="s">
        <v>998</v>
      </c>
      <c r="D12" s="545"/>
      <c r="F12" s="540"/>
      <c r="G12" s="544" t="s">
        <v>997</v>
      </c>
      <c r="H12" s="544"/>
      <c r="W12" s="535"/>
    </row>
    <row r="13" spans="2:45" ht="18.75" customHeight="1" thickBot="1" x14ac:dyDescent="0.35">
      <c r="B13" s="543">
        <v>10</v>
      </c>
      <c r="C13" s="542" t="s">
        <v>996</v>
      </c>
      <c r="D13" s="541"/>
      <c r="F13" s="540"/>
      <c r="G13" s="539" t="s">
        <v>995</v>
      </c>
      <c r="H13" s="538"/>
      <c r="I13" s="538"/>
      <c r="J13" s="538"/>
      <c r="K13" s="538"/>
      <c r="L13" s="538"/>
      <c r="M13" s="538"/>
      <c r="N13" s="538"/>
      <c r="O13" s="538"/>
      <c r="P13" s="538"/>
      <c r="Q13" s="538"/>
      <c r="R13" s="538"/>
      <c r="S13" s="538"/>
      <c r="T13" s="538"/>
      <c r="U13" s="538"/>
      <c r="V13" s="538"/>
      <c r="W13" s="537"/>
      <c r="X13" s="536"/>
    </row>
    <row r="14" spans="2:45" ht="171" customHeight="1" thickBot="1" x14ac:dyDescent="0.25">
      <c r="D14" s="322" t="s">
        <v>45</v>
      </c>
      <c r="F14" s="535" t="s">
        <v>994</v>
      </c>
      <c r="G14" s="534" t="s">
        <v>993</v>
      </c>
      <c r="H14" s="533" t="s">
        <v>992</v>
      </c>
      <c r="I14" s="532" t="s">
        <v>991</v>
      </c>
      <c r="J14" s="532" t="s">
        <v>990</v>
      </c>
      <c r="K14" s="532" t="s">
        <v>989</v>
      </c>
      <c r="L14" s="532" t="s">
        <v>988</v>
      </c>
      <c r="M14" s="532" t="s">
        <v>987</v>
      </c>
      <c r="N14" s="532" t="s">
        <v>986</v>
      </c>
      <c r="O14" s="532" t="s">
        <v>985</v>
      </c>
      <c r="P14" s="532" t="s">
        <v>984</v>
      </c>
      <c r="Q14" s="532" t="s">
        <v>983</v>
      </c>
      <c r="R14" s="532" t="s">
        <v>982</v>
      </c>
      <c r="S14" s="532" t="s">
        <v>981</v>
      </c>
      <c r="T14" s="532" t="s">
        <v>980</v>
      </c>
      <c r="U14" s="532" t="s">
        <v>979</v>
      </c>
      <c r="V14" s="532" t="s">
        <v>978</v>
      </c>
      <c r="W14" s="532" t="s">
        <v>977</v>
      </c>
      <c r="X14" s="531" t="s">
        <v>976</v>
      </c>
      <c r="Y14" s="530"/>
      <c r="Z14" s="530"/>
      <c r="AA14" s="530"/>
      <c r="AB14" s="530"/>
      <c r="AC14" s="530"/>
      <c r="AD14" s="530"/>
      <c r="AE14" s="530"/>
      <c r="AF14" s="530"/>
      <c r="AG14" s="530"/>
      <c r="AH14" s="530"/>
      <c r="AI14" s="530"/>
      <c r="AJ14" s="530"/>
      <c r="AK14" s="530"/>
      <c r="AL14" s="530"/>
      <c r="AM14" s="530"/>
      <c r="AN14" s="530"/>
      <c r="AO14" s="530"/>
      <c r="AP14" s="530"/>
      <c r="AQ14" s="530"/>
      <c r="AR14" s="530"/>
      <c r="AS14" s="530"/>
    </row>
    <row r="15" spans="2:45" x14ac:dyDescent="0.2">
      <c r="D15" s="720" t="s">
        <v>975</v>
      </c>
      <c r="E15" s="721"/>
      <c r="F15" s="722"/>
      <c r="G15" s="527">
        <v>10</v>
      </c>
      <c r="H15" s="527">
        <v>10</v>
      </c>
      <c r="I15" s="527">
        <v>10</v>
      </c>
      <c r="J15" s="525">
        <v>7</v>
      </c>
      <c r="K15" s="525">
        <v>7</v>
      </c>
      <c r="L15" s="525">
        <v>7</v>
      </c>
      <c r="M15" s="525">
        <v>5</v>
      </c>
      <c r="N15" s="525">
        <v>5</v>
      </c>
      <c r="O15" s="525">
        <v>5</v>
      </c>
      <c r="P15" s="526">
        <v>10</v>
      </c>
      <c r="Q15" s="527">
        <v>10</v>
      </c>
      <c r="R15" s="527">
        <v>10</v>
      </c>
      <c r="S15" s="526">
        <v>8</v>
      </c>
      <c r="T15" s="527">
        <v>10</v>
      </c>
      <c r="U15" s="527">
        <v>10</v>
      </c>
      <c r="V15" s="527">
        <v>10</v>
      </c>
      <c r="W15" s="527">
        <v>10</v>
      </c>
      <c r="X15" s="529"/>
    </row>
    <row r="16" spans="2:45" x14ac:dyDescent="0.2">
      <c r="D16" s="723" t="s">
        <v>974</v>
      </c>
      <c r="E16" s="724"/>
      <c r="F16" s="725"/>
      <c r="G16" s="527">
        <v>10</v>
      </c>
      <c r="H16" s="527">
        <v>10</v>
      </c>
      <c r="I16" s="527">
        <v>10</v>
      </c>
      <c r="J16" s="525">
        <v>7</v>
      </c>
      <c r="K16" s="525">
        <v>7</v>
      </c>
      <c r="L16" s="525">
        <v>7</v>
      </c>
      <c r="M16" s="525">
        <v>7</v>
      </c>
      <c r="N16" s="526">
        <v>8</v>
      </c>
      <c r="O16" s="525">
        <v>6</v>
      </c>
      <c r="P16" s="526">
        <v>10</v>
      </c>
      <c r="Q16" s="526">
        <v>10</v>
      </c>
      <c r="R16" s="526">
        <v>9</v>
      </c>
      <c r="S16" s="526">
        <v>8</v>
      </c>
      <c r="T16" s="527">
        <v>10</v>
      </c>
      <c r="U16" s="527">
        <v>10</v>
      </c>
      <c r="V16" s="527">
        <v>10</v>
      </c>
      <c r="W16" s="527">
        <v>10</v>
      </c>
      <c r="X16" s="524"/>
    </row>
    <row r="17" spans="2:24" x14ac:dyDescent="0.2">
      <c r="D17" s="723" t="s">
        <v>973</v>
      </c>
      <c r="E17" s="724"/>
      <c r="F17" s="725"/>
      <c r="G17" s="528">
        <v>8</v>
      </c>
      <c r="H17" s="526">
        <v>7</v>
      </c>
      <c r="I17" s="526">
        <v>7</v>
      </c>
      <c r="J17" s="527">
        <v>10</v>
      </c>
      <c r="K17" s="526">
        <v>8</v>
      </c>
      <c r="L17" s="526">
        <v>10</v>
      </c>
      <c r="M17" s="527">
        <v>10</v>
      </c>
      <c r="N17" s="527">
        <v>10</v>
      </c>
      <c r="O17" s="527">
        <v>10</v>
      </c>
      <c r="P17" s="527">
        <v>10</v>
      </c>
      <c r="Q17" s="525">
        <v>7</v>
      </c>
      <c r="R17" s="526">
        <v>6</v>
      </c>
      <c r="S17" s="526">
        <v>8</v>
      </c>
      <c r="T17" s="527">
        <v>10</v>
      </c>
      <c r="U17" s="527">
        <v>10</v>
      </c>
      <c r="V17" s="526">
        <v>10</v>
      </c>
      <c r="W17" s="525">
        <v>5</v>
      </c>
      <c r="X17" s="524"/>
    </row>
    <row r="18" spans="2:24" x14ac:dyDescent="0.2">
      <c r="D18" s="723" t="s">
        <v>972</v>
      </c>
      <c r="E18" s="724"/>
      <c r="F18" s="725"/>
      <c r="G18" s="525">
        <v>7</v>
      </c>
      <c r="H18" s="525">
        <v>7</v>
      </c>
      <c r="I18" s="525">
        <v>7</v>
      </c>
      <c r="J18" s="527">
        <v>10</v>
      </c>
      <c r="K18" s="526">
        <v>8</v>
      </c>
      <c r="L18" s="526">
        <v>7</v>
      </c>
      <c r="M18" s="527">
        <v>10</v>
      </c>
      <c r="N18" s="526">
        <v>8</v>
      </c>
      <c r="O18" s="527">
        <v>10</v>
      </c>
      <c r="P18" s="527">
        <v>10</v>
      </c>
      <c r="Q18" s="525">
        <v>7</v>
      </c>
      <c r="R18" s="526">
        <v>6</v>
      </c>
      <c r="S18" s="526">
        <v>8</v>
      </c>
      <c r="T18" s="527">
        <v>10</v>
      </c>
      <c r="U18" s="527">
        <v>10</v>
      </c>
      <c r="V18" s="526">
        <v>10</v>
      </c>
      <c r="W18" s="525">
        <v>5</v>
      </c>
      <c r="X18" s="524"/>
    </row>
    <row r="19" spans="2:24" x14ac:dyDescent="0.2">
      <c r="D19" s="723" t="s">
        <v>971</v>
      </c>
      <c r="E19" s="724"/>
      <c r="F19" s="725"/>
      <c r="G19" s="528">
        <v>8</v>
      </c>
      <c r="H19" s="526">
        <v>8</v>
      </c>
      <c r="I19" s="526">
        <v>7</v>
      </c>
      <c r="J19" s="526">
        <v>10</v>
      </c>
      <c r="K19" s="527">
        <v>10</v>
      </c>
      <c r="L19" s="527">
        <v>10</v>
      </c>
      <c r="M19" s="526">
        <v>7</v>
      </c>
      <c r="N19" s="526">
        <v>8</v>
      </c>
      <c r="O19" s="527">
        <v>10</v>
      </c>
      <c r="P19" s="527">
        <v>10</v>
      </c>
      <c r="Q19" s="525">
        <v>5</v>
      </c>
      <c r="R19" s="526">
        <v>6</v>
      </c>
      <c r="S19" s="526">
        <v>8</v>
      </c>
      <c r="T19" s="527">
        <v>10</v>
      </c>
      <c r="U19" s="527">
        <v>10</v>
      </c>
      <c r="V19" s="526">
        <v>10</v>
      </c>
      <c r="W19" s="525">
        <v>5</v>
      </c>
      <c r="X19" s="524"/>
    </row>
    <row r="21" spans="2:24" x14ac:dyDescent="0.2">
      <c r="B21" s="322" t="s">
        <v>970</v>
      </c>
    </row>
  </sheetData>
  <mergeCells count="5">
    <mergeCell ref="D15:F15"/>
    <mergeCell ref="D16:F16"/>
    <mergeCell ref="D17:F17"/>
    <mergeCell ref="D18:F18"/>
    <mergeCell ref="D19:F19"/>
  </mergeCells>
  <pageMargins left="0.78740157499999996" right="0.78740157499999996" top="0.984251969" bottom="0.984251969" header="0.49212598499999999" footer="0.49212598499999999"/>
  <pageSetup paperSize="9" orientation="portrait" horizontalDpi="300" r:id="rId1"/>
  <headerFooter alignWithMargins="0">
    <oddHeader>&amp;A</oddHeader>
    <oddFooter>Página &amp;P</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FAFF-2B71-491F-8A99-CA1F941EAADA}">
  <dimension ref="B2:P76"/>
  <sheetViews>
    <sheetView showGridLines="0" topLeftCell="B1" zoomScaleNormal="100" zoomScaleSheetLayoutView="100" workbookViewId="0">
      <pane ySplit="5" topLeftCell="A27" activePane="bottomLeft" state="frozenSplit"/>
      <selection pane="bottomLeft" activeCell="C16" sqref="C16"/>
    </sheetView>
  </sheetViews>
  <sheetFormatPr defaultRowHeight="12.75" x14ac:dyDescent="0.2"/>
  <cols>
    <col min="1" max="1" width="1.42578125" style="322" customWidth="1"/>
    <col min="2" max="2" width="9" style="322" bestFit="1" customWidth="1"/>
    <col min="3" max="3" width="67.28515625" style="322" bestFit="1" customWidth="1"/>
    <col min="4" max="4" width="9.7109375" style="565" customWidth="1"/>
    <col min="5" max="5" width="9.140625" style="565" customWidth="1"/>
    <col min="6" max="6" width="8.85546875" style="565" customWidth="1"/>
    <col min="7" max="8" width="9" style="565" customWidth="1"/>
    <col min="9" max="9" width="9.140625" style="322"/>
    <col min="10" max="10" width="16.85546875" style="322" bestFit="1" customWidth="1"/>
    <col min="11" max="11" width="22.42578125" style="322" bestFit="1" customWidth="1"/>
    <col min="12" max="253" width="9.140625" style="322"/>
    <col min="254" max="254" width="1.42578125" style="322" customWidth="1"/>
    <col min="255" max="255" width="9" style="322" bestFit="1" customWidth="1"/>
    <col min="256" max="256" width="67.28515625" style="322" bestFit="1" customWidth="1"/>
    <col min="257" max="257" width="13" style="322" customWidth="1"/>
    <col min="258" max="264" width="5.7109375" style="322" customWidth="1"/>
    <col min="265" max="265" width="9.140625" style="322"/>
    <col min="266" max="266" width="16.85546875" style="322" bestFit="1" customWidth="1"/>
    <col min="267" max="267" width="22.42578125" style="322" bestFit="1" customWidth="1"/>
    <col min="268" max="509" width="9.140625" style="322"/>
    <col min="510" max="510" width="1.42578125" style="322" customWidth="1"/>
    <col min="511" max="511" width="9" style="322" bestFit="1" customWidth="1"/>
    <col min="512" max="512" width="67.28515625" style="322" bestFit="1" customWidth="1"/>
    <col min="513" max="513" width="13" style="322" customWidth="1"/>
    <col min="514" max="520" width="5.7109375" style="322" customWidth="1"/>
    <col min="521" max="521" width="9.140625" style="322"/>
    <col min="522" max="522" width="16.85546875" style="322" bestFit="1" customWidth="1"/>
    <col min="523" max="523" width="22.42578125" style="322" bestFit="1" customWidth="1"/>
    <col min="524" max="765" width="9.140625" style="322"/>
    <col min="766" max="766" width="1.42578125" style="322" customWidth="1"/>
    <col min="767" max="767" width="9" style="322" bestFit="1" customWidth="1"/>
    <col min="768" max="768" width="67.28515625" style="322" bestFit="1" customWidth="1"/>
    <col min="769" max="769" width="13" style="322" customWidth="1"/>
    <col min="770" max="776" width="5.7109375" style="322" customWidth="1"/>
    <col min="777" max="777" width="9.140625" style="322"/>
    <col min="778" max="778" width="16.85546875" style="322" bestFit="1" customWidth="1"/>
    <col min="779" max="779" width="22.42578125" style="322" bestFit="1" customWidth="1"/>
    <col min="780" max="1021" width="9.140625" style="322"/>
    <col min="1022" max="1022" width="1.42578125" style="322" customWidth="1"/>
    <col min="1023" max="1023" width="9" style="322" bestFit="1" customWidth="1"/>
    <col min="1024" max="1024" width="67.28515625" style="322" bestFit="1" customWidth="1"/>
    <col min="1025" max="1025" width="13" style="322" customWidth="1"/>
    <col min="1026" max="1032" width="5.7109375" style="322" customWidth="1"/>
    <col min="1033" max="1033" width="9.140625" style="322"/>
    <col min="1034" max="1034" width="16.85546875" style="322" bestFit="1" customWidth="1"/>
    <col min="1035" max="1035" width="22.42578125" style="322" bestFit="1" customWidth="1"/>
    <col min="1036" max="1277" width="9.140625" style="322"/>
    <col min="1278" max="1278" width="1.42578125" style="322" customWidth="1"/>
    <col min="1279" max="1279" width="9" style="322" bestFit="1" customWidth="1"/>
    <col min="1280" max="1280" width="67.28515625" style="322" bestFit="1" customWidth="1"/>
    <col min="1281" max="1281" width="13" style="322" customWidth="1"/>
    <col min="1282" max="1288" width="5.7109375" style="322" customWidth="1"/>
    <col min="1289" max="1289" width="9.140625" style="322"/>
    <col min="1290" max="1290" width="16.85546875" style="322" bestFit="1" customWidth="1"/>
    <col min="1291" max="1291" width="22.42578125" style="322" bestFit="1" customWidth="1"/>
    <col min="1292" max="1533" width="9.140625" style="322"/>
    <col min="1534" max="1534" width="1.42578125" style="322" customWidth="1"/>
    <col min="1535" max="1535" width="9" style="322" bestFit="1" customWidth="1"/>
    <col min="1536" max="1536" width="67.28515625" style="322" bestFit="1" customWidth="1"/>
    <col min="1537" max="1537" width="13" style="322" customWidth="1"/>
    <col min="1538" max="1544" width="5.7109375" style="322" customWidth="1"/>
    <col min="1545" max="1545" width="9.140625" style="322"/>
    <col min="1546" max="1546" width="16.85546875" style="322" bestFit="1" customWidth="1"/>
    <col min="1547" max="1547" width="22.42578125" style="322" bestFit="1" customWidth="1"/>
    <col min="1548" max="1789" width="9.140625" style="322"/>
    <col min="1790" max="1790" width="1.42578125" style="322" customWidth="1"/>
    <col min="1791" max="1791" width="9" style="322" bestFit="1" customWidth="1"/>
    <col min="1792" max="1792" width="67.28515625" style="322" bestFit="1" customWidth="1"/>
    <col min="1793" max="1793" width="13" style="322" customWidth="1"/>
    <col min="1794" max="1800" width="5.7109375" style="322" customWidth="1"/>
    <col min="1801" max="1801" width="9.140625" style="322"/>
    <col min="1802" max="1802" width="16.85546875" style="322" bestFit="1" customWidth="1"/>
    <col min="1803" max="1803" width="22.42578125" style="322" bestFit="1" customWidth="1"/>
    <col min="1804" max="2045" width="9.140625" style="322"/>
    <col min="2046" max="2046" width="1.42578125" style="322" customWidth="1"/>
    <col min="2047" max="2047" width="9" style="322" bestFit="1" customWidth="1"/>
    <col min="2048" max="2048" width="67.28515625" style="322" bestFit="1" customWidth="1"/>
    <col min="2049" max="2049" width="13" style="322" customWidth="1"/>
    <col min="2050" max="2056" width="5.7109375" style="322" customWidth="1"/>
    <col min="2057" max="2057" width="9.140625" style="322"/>
    <col min="2058" max="2058" width="16.85546875" style="322" bestFit="1" customWidth="1"/>
    <col min="2059" max="2059" width="22.42578125" style="322" bestFit="1" customWidth="1"/>
    <col min="2060" max="2301" width="9.140625" style="322"/>
    <col min="2302" max="2302" width="1.42578125" style="322" customWidth="1"/>
    <col min="2303" max="2303" width="9" style="322" bestFit="1" customWidth="1"/>
    <col min="2304" max="2304" width="67.28515625" style="322" bestFit="1" customWidth="1"/>
    <col min="2305" max="2305" width="13" style="322" customWidth="1"/>
    <col min="2306" max="2312" width="5.7109375" style="322" customWidth="1"/>
    <col min="2313" max="2313" width="9.140625" style="322"/>
    <col min="2314" max="2314" width="16.85546875" style="322" bestFit="1" customWidth="1"/>
    <col min="2315" max="2315" width="22.42578125" style="322" bestFit="1" customWidth="1"/>
    <col min="2316" max="2557" width="9.140625" style="322"/>
    <col min="2558" max="2558" width="1.42578125" style="322" customWidth="1"/>
    <col min="2559" max="2559" width="9" style="322" bestFit="1" customWidth="1"/>
    <col min="2560" max="2560" width="67.28515625" style="322" bestFit="1" customWidth="1"/>
    <col min="2561" max="2561" width="13" style="322" customWidth="1"/>
    <col min="2562" max="2568" width="5.7109375" style="322" customWidth="1"/>
    <col min="2569" max="2569" width="9.140625" style="322"/>
    <col min="2570" max="2570" width="16.85546875" style="322" bestFit="1" customWidth="1"/>
    <col min="2571" max="2571" width="22.42578125" style="322" bestFit="1" customWidth="1"/>
    <col min="2572" max="2813" width="9.140625" style="322"/>
    <col min="2814" max="2814" width="1.42578125" style="322" customWidth="1"/>
    <col min="2815" max="2815" width="9" style="322" bestFit="1" customWidth="1"/>
    <col min="2816" max="2816" width="67.28515625" style="322" bestFit="1" customWidth="1"/>
    <col min="2817" max="2817" width="13" style="322" customWidth="1"/>
    <col min="2818" max="2824" width="5.7109375" style="322" customWidth="1"/>
    <col min="2825" max="2825" width="9.140625" style="322"/>
    <col min="2826" max="2826" width="16.85546875" style="322" bestFit="1" customWidth="1"/>
    <col min="2827" max="2827" width="22.42578125" style="322" bestFit="1" customWidth="1"/>
    <col min="2828" max="3069" width="9.140625" style="322"/>
    <col min="3070" max="3070" width="1.42578125" style="322" customWidth="1"/>
    <col min="3071" max="3071" width="9" style="322" bestFit="1" customWidth="1"/>
    <col min="3072" max="3072" width="67.28515625" style="322" bestFit="1" customWidth="1"/>
    <col min="3073" max="3073" width="13" style="322" customWidth="1"/>
    <col min="3074" max="3080" width="5.7109375" style="322" customWidth="1"/>
    <col min="3081" max="3081" width="9.140625" style="322"/>
    <col min="3082" max="3082" width="16.85546875" style="322" bestFit="1" customWidth="1"/>
    <col min="3083" max="3083" width="22.42578125" style="322" bestFit="1" customWidth="1"/>
    <col min="3084" max="3325" width="9.140625" style="322"/>
    <col min="3326" max="3326" width="1.42578125" style="322" customWidth="1"/>
    <col min="3327" max="3327" width="9" style="322" bestFit="1" customWidth="1"/>
    <col min="3328" max="3328" width="67.28515625" style="322" bestFit="1" customWidth="1"/>
    <col min="3329" max="3329" width="13" style="322" customWidth="1"/>
    <col min="3330" max="3336" width="5.7109375" style="322" customWidth="1"/>
    <col min="3337" max="3337" width="9.140625" style="322"/>
    <col min="3338" max="3338" width="16.85546875" style="322" bestFit="1" customWidth="1"/>
    <col min="3339" max="3339" width="22.42578125" style="322" bestFit="1" customWidth="1"/>
    <col min="3340" max="3581" width="9.140625" style="322"/>
    <col min="3582" max="3582" width="1.42578125" style="322" customWidth="1"/>
    <col min="3583" max="3583" width="9" style="322" bestFit="1" customWidth="1"/>
    <col min="3584" max="3584" width="67.28515625" style="322" bestFit="1" customWidth="1"/>
    <col min="3585" max="3585" width="13" style="322" customWidth="1"/>
    <col min="3586" max="3592" width="5.7109375" style="322" customWidth="1"/>
    <col min="3593" max="3593" width="9.140625" style="322"/>
    <col min="3594" max="3594" width="16.85546875" style="322" bestFit="1" customWidth="1"/>
    <col min="3595" max="3595" width="22.42578125" style="322" bestFit="1" customWidth="1"/>
    <col min="3596" max="3837" width="9.140625" style="322"/>
    <col min="3838" max="3838" width="1.42578125" style="322" customWidth="1"/>
    <col min="3839" max="3839" width="9" style="322" bestFit="1" customWidth="1"/>
    <col min="3840" max="3840" width="67.28515625" style="322" bestFit="1" customWidth="1"/>
    <col min="3841" max="3841" width="13" style="322" customWidth="1"/>
    <col min="3842" max="3848" width="5.7109375" style="322" customWidth="1"/>
    <col min="3849" max="3849" width="9.140625" style="322"/>
    <col min="3850" max="3850" width="16.85546875" style="322" bestFit="1" customWidth="1"/>
    <col min="3851" max="3851" width="22.42578125" style="322" bestFit="1" customWidth="1"/>
    <col min="3852" max="4093" width="9.140625" style="322"/>
    <col min="4094" max="4094" width="1.42578125" style="322" customWidth="1"/>
    <col min="4095" max="4095" width="9" style="322" bestFit="1" customWidth="1"/>
    <col min="4096" max="4096" width="67.28515625" style="322" bestFit="1" customWidth="1"/>
    <col min="4097" max="4097" width="13" style="322" customWidth="1"/>
    <col min="4098" max="4104" width="5.7109375" style="322" customWidth="1"/>
    <col min="4105" max="4105" width="9.140625" style="322"/>
    <col min="4106" max="4106" width="16.85546875" style="322" bestFit="1" customWidth="1"/>
    <col min="4107" max="4107" width="22.42578125" style="322" bestFit="1" customWidth="1"/>
    <col min="4108" max="4349" width="9.140625" style="322"/>
    <col min="4350" max="4350" width="1.42578125" style="322" customWidth="1"/>
    <col min="4351" max="4351" width="9" style="322" bestFit="1" customWidth="1"/>
    <col min="4352" max="4352" width="67.28515625" style="322" bestFit="1" customWidth="1"/>
    <col min="4353" max="4353" width="13" style="322" customWidth="1"/>
    <col min="4354" max="4360" width="5.7109375" style="322" customWidth="1"/>
    <col min="4361" max="4361" width="9.140625" style="322"/>
    <col min="4362" max="4362" width="16.85546875" style="322" bestFit="1" customWidth="1"/>
    <col min="4363" max="4363" width="22.42578125" style="322" bestFit="1" customWidth="1"/>
    <col min="4364" max="4605" width="9.140625" style="322"/>
    <col min="4606" max="4606" width="1.42578125" style="322" customWidth="1"/>
    <col min="4607" max="4607" width="9" style="322" bestFit="1" customWidth="1"/>
    <col min="4608" max="4608" width="67.28515625" style="322" bestFit="1" customWidth="1"/>
    <col min="4609" max="4609" width="13" style="322" customWidth="1"/>
    <col min="4610" max="4616" width="5.7109375" style="322" customWidth="1"/>
    <col min="4617" max="4617" width="9.140625" style="322"/>
    <col min="4618" max="4618" width="16.85546875" style="322" bestFit="1" customWidth="1"/>
    <col min="4619" max="4619" width="22.42578125" style="322" bestFit="1" customWidth="1"/>
    <col min="4620" max="4861" width="9.140625" style="322"/>
    <col min="4862" max="4862" width="1.42578125" style="322" customWidth="1"/>
    <col min="4863" max="4863" width="9" style="322" bestFit="1" customWidth="1"/>
    <col min="4864" max="4864" width="67.28515625" style="322" bestFit="1" customWidth="1"/>
    <col min="4865" max="4865" width="13" style="322" customWidth="1"/>
    <col min="4866" max="4872" width="5.7109375" style="322" customWidth="1"/>
    <col min="4873" max="4873" width="9.140625" style="322"/>
    <col min="4874" max="4874" width="16.85546875" style="322" bestFit="1" customWidth="1"/>
    <col min="4875" max="4875" width="22.42578125" style="322" bestFit="1" customWidth="1"/>
    <col min="4876" max="5117" width="9.140625" style="322"/>
    <col min="5118" max="5118" width="1.42578125" style="322" customWidth="1"/>
    <col min="5119" max="5119" width="9" style="322" bestFit="1" customWidth="1"/>
    <col min="5120" max="5120" width="67.28515625" style="322" bestFit="1" customWidth="1"/>
    <col min="5121" max="5121" width="13" style="322" customWidth="1"/>
    <col min="5122" max="5128" width="5.7109375" style="322" customWidth="1"/>
    <col min="5129" max="5129" width="9.140625" style="322"/>
    <col min="5130" max="5130" width="16.85546875" style="322" bestFit="1" customWidth="1"/>
    <col min="5131" max="5131" width="22.42578125" style="322" bestFit="1" customWidth="1"/>
    <col min="5132" max="5373" width="9.140625" style="322"/>
    <col min="5374" max="5374" width="1.42578125" style="322" customWidth="1"/>
    <col min="5375" max="5375" width="9" style="322" bestFit="1" customWidth="1"/>
    <col min="5376" max="5376" width="67.28515625" style="322" bestFit="1" customWidth="1"/>
    <col min="5377" max="5377" width="13" style="322" customWidth="1"/>
    <col min="5378" max="5384" width="5.7109375" style="322" customWidth="1"/>
    <col min="5385" max="5385" width="9.140625" style="322"/>
    <col min="5386" max="5386" width="16.85546875" style="322" bestFit="1" customWidth="1"/>
    <col min="5387" max="5387" width="22.42578125" style="322" bestFit="1" customWidth="1"/>
    <col min="5388" max="5629" width="9.140625" style="322"/>
    <col min="5630" max="5630" width="1.42578125" style="322" customWidth="1"/>
    <col min="5631" max="5631" width="9" style="322" bestFit="1" customWidth="1"/>
    <col min="5632" max="5632" width="67.28515625" style="322" bestFit="1" customWidth="1"/>
    <col min="5633" max="5633" width="13" style="322" customWidth="1"/>
    <col min="5634" max="5640" width="5.7109375" style="322" customWidth="1"/>
    <col min="5641" max="5641" width="9.140625" style="322"/>
    <col min="5642" max="5642" width="16.85546875" style="322" bestFit="1" customWidth="1"/>
    <col min="5643" max="5643" width="22.42578125" style="322" bestFit="1" customWidth="1"/>
    <col min="5644" max="5885" width="9.140625" style="322"/>
    <col min="5886" max="5886" width="1.42578125" style="322" customWidth="1"/>
    <col min="5887" max="5887" width="9" style="322" bestFit="1" customWidth="1"/>
    <col min="5888" max="5888" width="67.28515625" style="322" bestFit="1" customWidth="1"/>
    <col min="5889" max="5889" width="13" style="322" customWidth="1"/>
    <col min="5890" max="5896" width="5.7109375" style="322" customWidth="1"/>
    <col min="5897" max="5897" width="9.140625" style="322"/>
    <col min="5898" max="5898" width="16.85546875" style="322" bestFit="1" customWidth="1"/>
    <col min="5899" max="5899" width="22.42578125" style="322" bestFit="1" customWidth="1"/>
    <col min="5900" max="6141" width="9.140625" style="322"/>
    <col min="6142" max="6142" width="1.42578125" style="322" customWidth="1"/>
    <col min="6143" max="6143" width="9" style="322" bestFit="1" customWidth="1"/>
    <col min="6144" max="6144" width="67.28515625" style="322" bestFit="1" customWidth="1"/>
    <col min="6145" max="6145" width="13" style="322" customWidth="1"/>
    <col min="6146" max="6152" width="5.7109375" style="322" customWidth="1"/>
    <col min="6153" max="6153" width="9.140625" style="322"/>
    <col min="6154" max="6154" width="16.85546875" style="322" bestFit="1" customWidth="1"/>
    <col min="6155" max="6155" width="22.42578125" style="322" bestFit="1" customWidth="1"/>
    <col min="6156" max="6397" width="9.140625" style="322"/>
    <col min="6398" max="6398" width="1.42578125" style="322" customWidth="1"/>
    <col min="6399" max="6399" width="9" style="322" bestFit="1" customWidth="1"/>
    <col min="6400" max="6400" width="67.28515625" style="322" bestFit="1" customWidth="1"/>
    <col min="6401" max="6401" width="13" style="322" customWidth="1"/>
    <col min="6402" max="6408" width="5.7109375" style="322" customWidth="1"/>
    <col min="6409" max="6409" width="9.140625" style="322"/>
    <col min="6410" max="6410" width="16.85546875" style="322" bestFit="1" customWidth="1"/>
    <col min="6411" max="6411" width="22.42578125" style="322" bestFit="1" customWidth="1"/>
    <col min="6412" max="6653" width="9.140625" style="322"/>
    <col min="6654" max="6654" width="1.42578125" style="322" customWidth="1"/>
    <col min="6655" max="6655" width="9" style="322" bestFit="1" customWidth="1"/>
    <col min="6656" max="6656" width="67.28515625" style="322" bestFit="1" customWidth="1"/>
    <col min="6657" max="6657" width="13" style="322" customWidth="1"/>
    <col min="6658" max="6664" width="5.7109375" style="322" customWidth="1"/>
    <col min="6665" max="6665" width="9.140625" style="322"/>
    <col min="6666" max="6666" width="16.85546875" style="322" bestFit="1" customWidth="1"/>
    <col min="6667" max="6667" width="22.42578125" style="322" bestFit="1" customWidth="1"/>
    <col min="6668" max="6909" width="9.140625" style="322"/>
    <col min="6910" max="6910" width="1.42578125" style="322" customWidth="1"/>
    <col min="6911" max="6911" width="9" style="322" bestFit="1" customWidth="1"/>
    <col min="6912" max="6912" width="67.28515625" style="322" bestFit="1" customWidth="1"/>
    <col min="6913" max="6913" width="13" style="322" customWidth="1"/>
    <col min="6914" max="6920" width="5.7109375" style="322" customWidth="1"/>
    <col min="6921" max="6921" width="9.140625" style="322"/>
    <col min="6922" max="6922" width="16.85546875" style="322" bestFit="1" customWidth="1"/>
    <col min="6923" max="6923" width="22.42578125" style="322" bestFit="1" customWidth="1"/>
    <col min="6924" max="7165" width="9.140625" style="322"/>
    <col min="7166" max="7166" width="1.42578125" style="322" customWidth="1"/>
    <col min="7167" max="7167" width="9" style="322" bestFit="1" customWidth="1"/>
    <col min="7168" max="7168" width="67.28515625" style="322" bestFit="1" customWidth="1"/>
    <col min="7169" max="7169" width="13" style="322" customWidth="1"/>
    <col min="7170" max="7176" width="5.7109375" style="322" customWidth="1"/>
    <col min="7177" max="7177" width="9.140625" style="322"/>
    <col min="7178" max="7178" width="16.85546875" style="322" bestFit="1" customWidth="1"/>
    <col min="7179" max="7179" width="22.42578125" style="322" bestFit="1" customWidth="1"/>
    <col min="7180" max="7421" width="9.140625" style="322"/>
    <col min="7422" max="7422" width="1.42578125" style="322" customWidth="1"/>
    <col min="7423" max="7423" width="9" style="322" bestFit="1" customWidth="1"/>
    <col min="7424" max="7424" width="67.28515625" style="322" bestFit="1" customWidth="1"/>
    <col min="7425" max="7425" width="13" style="322" customWidth="1"/>
    <col min="7426" max="7432" width="5.7109375" style="322" customWidth="1"/>
    <col min="7433" max="7433" width="9.140625" style="322"/>
    <col min="7434" max="7434" width="16.85546875" style="322" bestFit="1" customWidth="1"/>
    <col min="7435" max="7435" width="22.42578125" style="322" bestFit="1" customWidth="1"/>
    <col min="7436" max="7677" width="9.140625" style="322"/>
    <col min="7678" max="7678" width="1.42578125" style="322" customWidth="1"/>
    <col min="7679" max="7679" width="9" style="322" bestFit="1" customWidth="1"/>
    <col min="7680" max="7680" width="67.28515625" style="322" bestFit="1" customWidth="1"/>
    <col min="7681" max="7681" width="13" style="322" customWidth="1"/>
    <col min="7682" max="7688" width="5.7109375" style="322" customWidth="1"/>
    <col min="7689" max="7689" width="9.140625" style="322"/>
    <col min="7690" max="7690" width="16.85546875" style="322" bestFit="1" customWidth="1"/>
    <col min="7691" max="7691" width="22.42578125" style="322" bestFit="1" customWidth="1"/>
    <col min="7692" max="7933" width="9.140625" style="322"/>
    <col min="7934" max="7934" width="1.42578125" style="322" customWidth="1"/>
    <col min="7935" max="7935" width="9" style="322" bestFit="1" customWidth="1"/>
    <col min="7936" max="7936" width="67.28515625" style="322" bestFit="1" customWidth="1"/>
    <col min="7937" max="7937" width="13" style="322" customWidth="1"/>
    <col min="7938" max="7944" width="5.7109375" style="322" customWidth="1"/>
    <col min="7945" max="7945" width="9.140625" style="322"/>
    <col min="7946" max="7946" width="16.85546875" style="322" bestFit="1" customWidth="1"/>
    <col min="7947" max="7947" width="22.42578125" style="322" bestFit="1" customWidth="1"/>
    <col min="7948" max="8189" width="9.140625" style="322"/>
    <col min="8190" max="8190" width="1.42578125" style="322" customWidth="1"/>
    <col min="8191" max="8191" width="9" style="322" bestFit="1" customWidth="1"/>
    <col min="8192" max="8192" width="67.28515625" style="322" bestFit="1" customWidth="1"/>
    <col min="8193" max="8193" width="13" style="322" customWidth="1"/>
    <col min="8194" max="8200" width="5.7109375" style="322" customWidth="1"/>
    <col min="8201" max="8201" width="9.140625" style="322"/>
    <col min="8202" max="8202" width="16.85546875" style="322" bestFit="1" customWidth="1"/>
    <col min="8203" max="8203" width="22.42578125" style="322" bestFit="1" customWidth="1"/>
    <col min="8204" max="8445" width="9.140625" style="322"/>
    <col min="8446" max="8446" width="1.42578125" style="322" customWidth="1"/>
    <col min="8447" max="8447" width="9" style="322" bestFit="1" customWidth="1"/>
    <col min="8448" max="8448" width="67.28515625" style="322" bestFit="1" customWidth="1"/>
    <col min="8449" max="8449" width="13" style="322" customWidth="1"/>
    <col min="8450" max="8456" width="5.7109375" style="322" customWidth="1"/>
    <col min="8457" max="8457" width="9.140625" style="322"/>
    <col min="8458" max="8458" width="16.85546875" style="322" bestFit="1" customWidth="1"/>
    <col min="8459" max="8459" width="22.42578125" style="322" bestFit="1" customWidth="1"/>
    <col min="8460" max="8701" width="9.140625" style="322"/>
    <col min="8702" max="8702" width="1.42578125" style="322" customWidth="1"/>
    <col min="8703" max="8703" width="9" style="322" bestFit="1" customWidth="1"/>
    <col min="8704" max="8704" width="67.28515625" style="322" bestFit="1" customWidth="1"/>
    <col min="8705" max="8705" width="13" style="322" customWidth="1"/>
    <col min="8706" max="8712" width="5.7109375" style="322" customWidth="1"/>
    <col min="8713" max="8713" width="9.140625" style="322"/>
    <col min="8714" max="8714" width="16.85546875" style="322" bestFit="1" customWidth="1"/>
    <col min="8715" max="8715" width="22.42578125" style="322" bestFit="1" customWidth="1"/>
    <col min="8716" max="8957" width="9.140625" style="322"/>
    <col min="8958" max="8958" width="1.42578125" style="322" customWidth="1"/>
    <col min="8959" max="8959" width="9" style="322" bestFit="1" customWidth="1"/>
    <col min="8960" max="8960" width="67.28515625" style="322" bestFit="1" customWidth="1"/>
    <col min="8961" max="8961" width="13" style="322" customWidth="1"/>
    <col min="8962" max="8968" width="5.7109375" style="322" customWidth="1"/>
    <col min="8969" max="8969" width="9.140625" style="322"/>
    <col min="8970" max="8970" width="16.85546875" style="322" bestFit="1" customWidth="1"/>
    <col min="8971" max="8971" width="22.42578125" style="322" bestFit="1" customWidth="1"/>
    <col min="8972" max="9213" width="9.140625" style="322"/>
    <col min="9214" max="9214" width="1.42578125" style="322" customWidth="1"/>
    <col min="9215" max="9215" width="9" style="322" bestFit="1" customWidth="1"/>
    <col min="9216" max="9216" width="67.28515625" style="322" bestFit="1" customWidth="1"/>
    <col min="9217" max="9217" width="13" style="322" customWidth="1"/>
    <col min="9218" max="9224" width="5.7109375" style="322" customWidth="1"/>
    <col min="9225" max="9225" width="9.140625" style="322"/>
    <col min="9226" max="9226" width="16.85546875" style="322" bestFit="1" customWidth="1"/>
    <col min="9227" max="9227" width="22.42578125" style="322" bestFit="1" customWidth="1"/>
    <col min="9228" max="9469" width="9.140625" style="322"/>
    <col min="9470" max="9470" width="1.42578125" style="322" customWidth="1"/>
    <col min="9471" max="9471" width="9" style="322" bestFit="1" customWidth="1"/>
    <col min="9472" max="9472" width="67.28515625" style="322" bestFit="1" customWidth="1"/>
    <col min="9473" max="9473" width="13" style="322" customWidth="1"/>
    <col min="9474" max="9480" width="5.7109375" style="322" customWidth="1"/>
    <col min="9481" max="9481" width="9.140625" style="322"/>
    <col min="9482" max="9482" width="16.85546875" style="322" bestFit="1" customWidth="1"/>
    <col min="9483" max="9483" width="22.42578125" style="322" bestFit="1" customWidth="1"/>
    <col min="9484" max="9725" width="9.140625" style="322"/>
    <col min="9726" max="9726" width="1.42578125" style="322" customWidth="1"/>
    <col min="9727" max="9727" width="9" style="322" bestFit="1" customWidth="1"/>
    <col min="9728" max="9728" width="67.28515625" style="322" bestFit="1" customWidth="1"/>
    <col min="9729" max="9729" width="13" style="322" customWidth="1"/>
    <col min="9730" max="9736" width="5.7109375" style="322" customWidth="1"/>
    <col min="9737" max="9737" width="9.140625" style="322"/>
    <col min="9738" max="9738" width="16.85546875" style="322" bestFit="1" customWidth="1"/>
    <col min="9739" max="9739" width="22.42578125" style="322" bestFit="1" customWidth="1"/>
    <col min="9740" max="9981" width="9.140625" style="322"/>
    <col min="9982" max="9982" width="1.42578125" style="322" customWidth="1"/>
    <col min="9983" max="9983" width="9" style="322" bestFit="1" customWidth="1"/>
    <col min="9984" max="9984" width="67.28515625" style="322" bestFit="1" customWidth="1"/>
    <col min="9985" max="9985" width="13" style="322" customWidth="1"/>
    <col min="9986" max="9992" width="5.7109375" style="322" customWidth="1"/>
    <col min="9993" max="9993" width="9.140625" style="322"/>
    <col min="9994" max="9994" width="16.85546875" style="322" bestFit="1" customWidth="1"/>
    <col min="9995" max="9995" width="22.42578125" style="322" bestFit="1" customWidth="1"/>
    <col min="9996" max="10237" width="9.140625" style="322"/>
    <col min="10238" max="10238" width="1.42578125" style="322" customWidth="1"/>
    <col min="10239" max="10239" width="9" style="322" bestFit="1" customWidth="1"/>
    <col min="10240" max="10240" width="67.28515625" style="322" bestFit="1" customWidth="1"/>
    <col min="10241" max="10241" width="13" style="322" customWidth="1"/>
    <col min="10242" max="10248" width="5.7109375" style="322" customWidth="1"/>
    <col min="10249" max="10249" width="9.140625" style="322"/>
    <col min="10250" max="10250" width="16.85546875" style="322" bestFit="1" customWidth="1"/>
    <col min="10251" max="10251" width="22.42578125" style="322" bestFit="1" customWidth="1"/>
    <col min="10252" max="10493" width="9.140625" style="322"/>
    <col min="10494" max="10494" width="1.42578125" style="322" customWidth="1"/>
    <col min="10495" max="10495" width="9" style="322" bestFit="1" customWidth="1"/>
    <col min="10496" max="10496" width="67.28515625" style="322" bestFit="1" customWidth="1"/>
    <col min="10497" max="10497" width="13" style="322" customWidth="1"/>
    <col min="10498" max="10504" width="5.7109375" style="322" customWidth="1"/>
    <col min="10505" max="10505" width="9.140625" style="322"/>
    <col min="10506" max="10506" width="16.85546875" style="322" bestFit="1" customWidth="1"/>
    <col min="10507" max="10507" width="22.42578125" style="322" bestFit="1" customWidth="1"/>
    <col min="10508" max="10749" width="9.140625" style="322"/>
    <col min="10750" max="10750" width="1.42578125" style="322" customWidth="1"/>
    <col min="10751" max="10751" width="9" style="322" bestFit="1" customWidth="1"/>
    <col min="10752" max="10752" width="67.28515625" style="322" bestFit="1" customWidth="1"/>
    <col min="10753" max="10753" width="13" style="322" customWidth="1"/>
    <col min="10754" max="10760" width="5.7109375" style="322" customWidth="1"/>
    <col min="10761" max="10761" width="9.140625" style="322"/>
    <col min="10762" max="10762" width="16.85546875" style="322" bestFit="1" customWidth="1"/>
    <col min="10763" max="10763" width="22.42578125" style="322" bestFit="1" customWidth="1"/>
    <col min="10764" max="11005" width="9.140625" style="322"/>
    <col min="11006" max="11006" width="1.42578125" style="322" customWidth="1"/>
    <col min="11007" max="11007" width="9" style="322" bestFit="1" customWidth="1"/>
    <col min="11008" max="11008" width="67.28515625" style="322" bestFit="1" customWidth="1"/>
    <col min="11009" max="11009" width="13" style="322" customWidth="1"/>
    <col min="11010" max="11016" width="5.7109375" style="322" customWidth="1"/>
    <col min="11017" max="11017" width="9.140625" style="322"/>
    <col min="11018" max="11018" width="16.85546875" style="322" bestFit="1" customWidth="1"/>
    <col min="11019" max="11019" width="22.42578125" style="322" bestFit="1" customWidth="1"/>
    <col min="11020" max="11261" width="9.140625" style="322"/>
    <col min="11262" max="11262" width="1.42578125" style="322" customWidth="1"/>
    <col min="11263" max="11263" width="9" style="322" bestFit="1" customWidth="1"/>
    <col min="11264" max="11264" width="67.28515625" style="322" bestFit="1" customWidth="1"/>
    <col min="11265" max="11265" width="13" style="322" customWidth="1"/>
    <col min="11266" max="11272" width="5.7109375" style="322" customWidth="1"/>
    <col min="11273" max="11273" width="9.140625" style="322"/>
    <col min="11274" max="11274" width="16.85546875" style="322" bestFit="1" customWidth="1"/>
    <col min="11275" max="11275" width="22.42578125" style="322" bestFit="1" customWidth="1"/>
    <col min="11276" max="11517" width="9.140625" style="322"/>
    <col min="11518" max="11518" width="1.42578125" style="322" customWidth="1"/>
    <col min="11519" max="11519" width="9" style="322" bestFit="1" customWidth="1"/>
    <col min="11520" max="11520" width="67.28515625" style="322" bestFit="1" customWidth="1"/>
    <col min="11521" max="11521" width="13" style="322" customWidth="1"/>
    <col min="11522" max="11528" width="5.7109375" style="322" customWidth="1"/>
    <col min="11529" max="11529" width="9.140625" style="322"/>
    <col min="11530" max="11530" width="16.85546875" style="322" bestFit="1" customWidth="1"/>
    <col min="11531" max="11531" width="22.42578125" style="322" bestFit="1" customWidth="1"/>
    <col min="11532" max="11773" width="9.140625" style="322"/>
    <col min="11774" max="11774" width="1.42578125" style="322" customWidth="1"/>
    <col min="11775" max="11775" width="9" style="322" bestFit="1" customWidth="1"/>
    <col min="11776" max="11776" width="67.28515625" style="322" bestFit="1" customWidth="1"/>
    <col min="11777" max="11777" width="13" style="322" customWidth="1"/>
    <col min="11778" max="11784" width="5.7109375" style="322" customWidth="1"/>
    <col min="11785" max="11785" width="9.140625" style="322"/>
    <col min="11786" max="11786" width="16.85546875" style="322" bestFit="1" customWidth="1"/>
    <col min="11787" max="11787" width="22.42578125" style="322" bestFit="1" customWidth="1"/>
    <col min="11788" max="12029" width="9.140625" style="322"/>
    <col min="12030" max="12030" width="1.42578125" style="322" customWidth="1"/>
    <col min="12031" max="12031" width="9" style="322" bestFit="1" customWidth="1"/>
    <col min="12032" max="12032" width="67.28515625" style="322" bestFit="1" customWidth="1"/>
    <col min="12033" max="12033" width="13" style="322" customWidth="1"/>
    <col min="12034" max="12040" width="5.7109375" style="322" customWidth="1"/>
    <col min="12041" max="12041" width="9.140625" style="322"/>
    <col min="12042" max="12042" width="16.85546875" style="322" bestFit="1" customWidth="1"/>
    <col min="12043" max="12043" width="22.42578125" style="322" bestFit="1" customWidth="1"/>
    <col min="12044" max="12285" width="9.140625" style="322"/>
    <col min="12286" max="12286" width="1.42578125" style="322" customWidth="1"/>
    <col min="12287" max="12287" width="9" style="322" bestFit="1" customWidth="1"/>
    <col min="12288" max="12288" width="67.28515625" style="322" bestFit="1" customWidth="1"/>
    <col min="12289" max="12289" width="13" style="322" customWidth="1"/>
    <col min="12290" max="12296" width="5.7109375" style="322" customWidth="1"/>
    <col min="12297" max="12297" width="9.140625" style="322"/>
    <col min="12298" max="12298" width="16.85546875" style="322" bestFit="1" customWidth="1"/>
    <col min="12299" max="12299" width="22.42578125" style="322" bestFit="1" customWidth="1"/>
    <col min="12300" max="12541" width="9.140625" style="322"/>
    <col min="12542" max="12542" width="1.42578125" style="322" customWidth="1"/>
    <col min="12543" max="12543" width="9" style="322" bestFit="1" customWidth="1"/>
    <col min="12544" max="12544" width="67.28515625" style="322" bestFit="1" customWidth="1"/>
    <col min="12545" max="12545" width="13" style="322" customWidth="1"/>
    <col min="12546" max="12552" width="5.7109375" style="322" customWidth="1"/>
    <col min="12553" max="12553" width="9.140625" style="322"/>
    <col min="12554" max="12554" width="16.85546875" style="322" bestFit="1" customWidth="1"/>
    <col min="12555" max="12555" width="22.42578125" style="322" bestFit="1" customWidth="1"/>
    <col min="12556" max="12797" width="9.140625" style="322"/>
    <col min="12798" max="12798" width="1.42578125" style="322" customWidth="1"/>
    <col min="12799" max="12799" width="9" style="322" bestFit="1" customWidth="1"/>
    <col min="12800" max="12800" width="67.28515625" style="322" bestFit="1" customWidth="1"/>
    <col min="12801" max="12801" width="13" style="322" customWidth="1"/>
    <col min="12802" max="12808" width="5.7109375" style="322" customWidth="1"/>
    <col min="12809" max="12809" width="9.140625" style="322"/>
    <col min="12810" max="12810" width="16.85546875" style="322" bestFit="1" customWidth="1"/>
    <col min="12811" max="12811" width="22.42578125" style="322" bestFit="1" customWidth="1"/>
    <col min="12812" max="13053" width="9.140625" style="322"/>
    <col min="13054" max="13054" width="1.42578125" style="322" customWidth="1"/>
    <col min="13055" max="13055" width="9" style="322" bestFit="1" customWidth="1"/>
    <col min="13056" max="13056" width="67.28515625" style="322" bestFit="1" customWidth="1"/>
    <col min="13057" max="13057" width="13" style="322" customWidth="1"/>
    <col min="13058" max="13064" width="5.7109375" style="322" customWidth="1"/>
    <col min="13065" max="13065" width="9.140625" style="322"/>
    <col min="13066" max="13066" width="16.85546875" style="322" bestFit="1" customWidth="1"/>
    <col min="13067" max="13067" width="22.42578125" style="322" bestFit="1" customWidth="1"/>
    <col min="13068" max="13309" width="9.140625" style="322"/>
    <col min="13310" max="13310" width="1.42578125" style="322" customWidth="1"/>
    <col min="13311" max="13311" width="9" style="322" bestFit="1" customWidth="1"/>
    <col min="13312" max="13312" width="67.28515625" style="322" bestFit="1" customWidth="1"/>
    <col min="13313" max="13313" width="13" style="322" customWidth="1"/>
    <col min="13314" max="13320" width="5.7109375" style="322" customWidth="1"/>
    <col min="13321" max="13321" width="9.140625" style="322"/>
    <col min="13322" max="13322" width="16.85546875" style="322" bestFit="1" customWidth="1"/>
    <col min="13323" max="13323" width="22.42578125" style="322" bestFit="1" customWidth="1"/>
    <col min="13324" max="13565" width="9.140625" style="322"/>
    <col min="13566" max="13566" width="1.42578125" style="322" customWidth="1"/>
    <col min="13567" max="13567" width="9" style="322" bestFit="1" customWidth="1"/>
    <col min="13568" max="13568" width="67.28515625" style="322" bestFit="1" customWidth="1"/>
    <col min="13569" max="13569" width="13" style="322" customWidth="1"/>
    <col min="13570" max="13576" width="5.7109375" style="322" customWidth="1"/>
    <col min="13577" max="13577" width="9.140625" style="322"/>
    <col min="13578" max="13578" width="16.85546875" style="322" bestFit="1" customWidth="1"/>
    <col min="13579" max="13579" width="22.42578125" style="322" bestFit="1" customWidth="1"/>
    <col min="13580" max="13821" width="9.140625" style="322"/>
    <col min="13822" max="13822" width="1.42578125" style="322" customWidth="1"/>
    <col min="13823" max="13823" width="9" style="322" bestFit="1" customWidth="1"/>
    <col min="13824" max="13824" width="67.28515625" style="322" bestFit="1" customWidth="1"/>
    <col min="13825" max="13825" width="13" style="322" customWidth="1"/>
    <col min="13826" max="13832" width="5.7109375" style="322" customWidth="1"/>
    <col min="13833" max="13833" width="9.140625" style="322"/>
    <col min="13834" max="13834" width="16.85546875" style="322" bestFit="1" customWidth="1"/>
    <col min="13835" max="13835" width="22.42578125" style="322" bestFit="1" customWidth="1"/>
    <col min="13836" max="14077" width="9.140625" style="322"/>
    <col min="14078" max="14078" width="1.42578125" style="322" customWidth="1"/>
    <col min="14079" max="14079" width="9" style="322" bestFit="1" customWidth="1"/>
    <col min="14080" max="14080" width="67.28515625" style="322" bestFit="1" customWidth="1"/>
    <col min="14081" max="14081" width="13" style="322" customWidth="1"/>
    <col min="14082" max="14088" width="5.7109375" style="322" customWidth="1"/>
    <col min="14089" max="14089" width="9.140625" style="322"/>
    <col min="14090" max="14090" width="16.85546875" style="322" bestFit="1" customWidth="1"/>
    <col min="14091" max="14091" width="22.42578125" style="322" bestFit="1" customWidth="1"/>
    <col min="14092" max="14333" width="9.140625" style="322"/>
    <col min="14334" max="14334" width="1.42578125" style="322" customWidth="1"/>
    <col min="14335" max="14335" width="9" style="322" bestFit="1" customWidth="1"/>
    <col min="14336" max="14336" width="67.28515625" style="322" bestFit="1" customWidth="1"/>
    <col min="14337" max="14337" width="13" style="322" customWidth="1"/>
    <col min="14338" max="14344" width="5.7109375" style="322" customWidth="1"/>
    <col min="14345" max="14345" width="9.140625" style="322"/>
    <col min="14346" max="14346" width="16.85546875" style="322" bestFit="1" customWidth="1"/>
    <col min="14347" max="14347" width="22.42578125" style="322" bestFit="1" customWidth="1"/>
    <col min="14348" max="14589" width="9.140625" style="322"/>
    <col min="14590" max="14590" width="1.42578125" style="322" customWidth="1"/>
    <col min="14591" max="14591" width="9" style="322" bestFit="1" customWidth="1"/>
    <col min="14592" max="14592" width="67.28515625" style="322" bestFit="1" customWidth="1"/>
    <col min="14593" max="14593" width="13" style="322" customWidth="1"/>
    <col min="14594" max="14600" width="5.7109375" style="322" customWidth="1"/>
    <col min="14601" max="14601" width="9.140625" style="322"/>
    <col min="14602" max="14602" width="16.85546875" style="322" bestFit="1" customWidth="1"/>
    <col min="14603" max="14603" width="22.42578125" style="322" bestFit="1" customWidth="1"/>
    <col min="14604" max="14845" width="9.140625" style="322"/>
    <col min="14846" max="14846" width="1.42578125" style="322" customWidth="1"/>
    <col min="14847" max="14847" width="9" style="322" bestFit="1" customWidth="1"/>
    <col min="14848" max="14848" width="67.28515625" style="322" bestFit="1" customWidth="1"/>
    <col min="14849" max="14849" width="13" style="322" customWidth="1"/>
    <col min="14850" max="14856" width="5.7109375" style="322" customWidth="1"/>
    <col min="14857" max="14857" width="9.140625" style="322"/>
    <col min="14858" max="14858" width="16.85546875" style="322" bestFit="1" customWidth="1"/>
    <col min="14859" max="14859" width="22.42578125" style="322" bestFit="1" customWidth="1"/>
    <col min="14860" max="15101" width="9.140625" style="322"/>
    <col min="15102" max="15102" width="1.42578125" style="322" customWidth="1"/>
    <col min="15103" max="15103" width="9" style="322" bestFit="1" customWidth="1"/>
    <col min="15104" max="15104" width="67.28515625" style="322" bestFit="1" customWidth="1"/>
    <col min="15105" max="15105" width="13" style="322" customWidth="1"/>
    <col min="15106" max="15112" width="5.7109375" style="322" customWidth="1"/>
    <col min="15113" max="15113" width="9.140625" style="322"/>
    <col min="15114" max="15114" width="16.85546875" style="322" bestFit="1" customWidth="1"/>
    <col min="15115" max="15115" width="22.42578125" style="322" bestFit="1" customWidth="1"/>
    <col min="15116" max="15357" width="9.140625" style="322"/>
    <col min="15358" max="15358" width="1.42578125" style="322" customWidth="1"/>
    <col min="15359" max="15359" width="9" style="322" bestFit="1" customWidth="1"/>
    <col min="15360" max="15360" width="67.28515625" style="322" bestFit="1" customWidth="1"/>
    <col min="15361" max="15361" width="13" style="322" customWidth="1"/>
    <col min="15362" max="15368" width="5.7109375" style="322" customWidth="1"/>
    <col min="15369" max="15369" width="9.140625" style="322"/>
    <col min="15370" max="15370" width="16.85546875" style="322" bestFit="1" customWidth="1"/>
    <col min="15371" max="15371" width="22.42578125" style="322" bestFit="1" customWidth="1"/>
    <col min="15372" max="15613" width="9.140625" style="322"/>
    <col min="15614" max="15614" width="1.42578125" style="322" customWidth="1"/>
    <col min="15615" max="15615" width="9" style="322" bestFit="1" customWidth="1"/>
    <col min="15616" max="15616" width="67.28515625" style="322" bestFit="1" customWidth="1"/>
    <col min="15617" max="15617" width="13" style="322" customWidth="1"/>
    <col min="15618" max="15624" width="5.7109375" style="322" customWidth="1"/>
    <col min="15625" max="15625" width="9.140625" style="322"/>
    <col min="15626" max="15626" width="16.85546875" style="322" bestFit="1" customWidth="1"/>
    <col min="15627" max="15627" width="22.42578125" style="322" bestFit="1" customWidth="1"/>
    <col min="15628" max="15869" width="9.140625" style="322"/>
    <col min="15870" max="15870" width="1.42578125" style="322" customWidth="1"/>
    <col min="15871" max="15871" width="9" style="322" bestFit="1" customWidth="1"/>
    <col min="15872" max="15872" width="67.28515625" style="322" bestFit="1" customWidth="1"/>
    <col min="15873" max="15873" width="13" style="322" customWidth="1"/>
    <col min="15874" max="15880" width="5.7109375" style="322" customWidth="1"/>
    <col min="15881" max="15881" width="9.140625" style="322"/>
    <col min="15882" max="15882" width="16.85546875" style="322" bestFit="1" customWidth="1"/>
    <col min="15883" max="15883" width="22.42578125" style="322" bestFit="1" customWidth="1"/>
    <col min="15884" max="16125" width="9.140625" style="322"/>
    <col min="16126" max="16126" width="1.42578125" style="322" customWidth="1"/>
    <col min="16127" max="16127" width="9" style="322" bestFit="1" customWidth="1"/>
    <col min="16128" max="16128" width="67.28515625" style="322" bestFit="1" customWidth="1"/>
    <col min="16129" max="16129" width="13" style="322" customWidth="1"/>
    <col min="16130" max="16136" width="5.7109375" style="322" customWidth="1"/>
    <col min="16137" max="16137" width="9.140625" style="322"/>
    <col min="16138" max="16138" width="16.85546875" style="322" bestFit="1" customWidth="1"/>
    <col min="16139" max="16139" width="22.42578125" style="322" bestFit="1" customWidth="1"/>
    <col min="16140" max="16384" width="9.140625" style="322"/>
  </cols>
  <sheetData>
    <row r="2" spans="2:8" ht="19.5" x14ac:dyDescent="0.3">
      <c r="B2" s="575" t="s">
        <v>1028</v>
      </c>
    </row>
    <row r="3" spans="2:8" ht="13.5" thickBot="1" x14ac:dyDescent="0.25">
      <c r="C3" s="568"/>
    </row>
    <row r="4" spans="2:8" ht="13.5" thickBot="1" x14ac:dyDescent="0.25">
      <c r="D4" s="726" t="s">
        <v>1027</v>
      </c>
      <c r="E4" s="727"/>
      <c r="F4" s="727"/>
      <c r="G4" s="727"/>
      <c r="H4" s="727"/>
    </row>
    <row r="5" spans="2:8" ht="17.25" thickTop="1" thickBot="1" x14ac:dyDescent="0.3">
      <c r="B5" s="574" t="s">
        <v>0</v>
      </c>
      <c r="C5" s="573" t="s">
        <v>1026</v>
      </c>
      <c r="D5" s="572" t="s">
        <v>1025</v>
      </c>
      <c r="E5" s="572" t="s">
        <v>1024</v>
      </c>
      <c r="F5" s="572" t="s">
        <v>1023</v>
      </c>
      <c r="G5" s="572" t="s">
        <v>1022</v>
      </c>
      <c r="H5" s="572" t="s">
        <v>1021</v>
      </c>
    </row>
    <row r="6" spans="2:8" ht="15.95" customHeight="1" x14ac:dyDescent="0.2">
      <c r="B6" s="170" t="s">
        <v>304</v>
      </c>
      <c r="C6" s="166" t="s">
        <v>178</v>
      </c>
      <c r="D6" s="566" t="s">
        <v>1008</v>
      </c>
      <c r="E6" s="566" t="s">
        <v>1007</v>
      </c>
      <c r="F6" s="567" t="s">
        <v>1009</v>
      </c>
      <c r="G6" s="567" t="s">
        <v>1009</v>
      </c>
      <c r="H6" s="567" t="s">
        <v>1009</v>
      </c>
    </row>
    <row r="7" spans="2:8" ht="15.95" customHeight="1" x14ac:dyDescent="0.2">
      <c r="B7" s="171" t="s">
        <v>308</v>
      </c>
      <c r="C7" s="131" t="s">
        <v>179</v>
      </c>
      <c r="D7" s="566" t="s">
        <v>1008</v>
      </c>
      <c r="E7" s="566" t="s">
        <v>1007</v>
      </c>
      <c r="F7" s="567" t="s">
        <v>1009</v>
      </c>
      <c r="G7" s="567" t="s">
        <v>1009</v>
      </c>
      <c r="H7" s="567" t="s">
        <v>1009</v>
      </c>
    </row>
    <row r="8" spans="2:8" ht="15.95" customHeight="1" x14ac:dyDescent="0.2">
      <c r="B8" s="172" t="s">
        <v>306</v>
      </c>
      <c r="C8" s="167" t="s">
        <v>180</v>
      </c>
      <c r="D8" s="566" t="s">
        <v>1008</v>
      </c>
      <c r="E8" s="566" t="s">
        <v>1007</v>
      </c>
      <c r="F8" s="566" t="s">
        <v>1006</v>
      </c>
      <c r="G8" s="767" t="s">
        <v>1007</v>
      </c>
      <c r="H8" s="566" t="s">
        <v>1007</v>
      </c>
    </row>
    <row r="9" spans="2:8" ht="15.95" customHeight="1" x14ac:dyDescent="0.2">
      <c r="B9" s="172" t="s">
        <v>307</v>
      </c>
      <c r="C9" s="167" t="s">
        <v>181</v>
      </c>
      <c r="D9" s="566" t="s">
        <v>1008</v>
      </c>
      <c r="E9" s="566" t="s">
        <v>1007</v>
      </c>
      <c r="F9" s="567" t="s">
        <v>1009</v>
      </c>
      <c r="G9" s="567" t="s">
        <v>1009</v>
      </c>
      <c r="H9" s="567" t="s">
        <v>1009</v>
      </c>
    </row>
    <row r="10" spans="2:8" ht="15.95" customHeight="1" x14ac:dyDescent="0.2">
      <c r="B10" s="170" t="s">
        <v>309</v>
      </c>
      <c r="C10" s="217" t="s">
        <v>194</v>
      </c>
      <c r="D10" s="566" t="s">
        <v>1008</v>
      </c>
      <c r="E10" s="566" t="s">
        <v>1007</v>
      </c>
      <c r="F10" s="567" t="s">
        <v>1009</v>
      </c>
      <c r="G10" s="566" t="s">
        <v>1007</v>
      </c>
      <c r="H10" s="567" t="s">
        <v>1009</v>
      </c>
    </row>
    <row r="11" spans="2:8" ht="15.95" customHeight="1" x14ac:dyDescent="0.2">
      <c r="B11" s="170" t="s">
        <v>305</v>
      </c>
      <c r="C11" s="217" t="s">
        <v>195</v>
      </c>
      <c r="D11" s="566" t="s">
        <v>1008</v>
      </c>
      <c r="E11" s="566" t="s">
        <v>1007</v>
      </c>
      <c r="F11" s="767" t="s">
        <v>1007</v>
      </c>
      <c r="G11" s="767" t="s">
        <v>1007</v>
      </c>
      <c r="H11" s="566" t="s">
        <v>1006</v>
      </c>
    </row>
    <row r="12" spans="2:8" ht="15.95" customHeight="1" x14ac:dyDescent="0.2">
      <c r="B12" s="170" t="s">
        <v>310</v>
      </c>
      <c r="C12" s="217" t="s">
        <v>196</v>
      </c>
      <c r="D12" s="566" t="s">
        <v>1008</v>
      </c>
      <c r="E12" s="566" t="s">
        <v>1007</v>
      </c>
      <c r="F12" s="767" t="s">
        <v>1007</v>
      </c>
      <c r="G12" s="566" t="s">
        <v>1006</v>
      </c>
      <c r="H12" s="566" t="s">
        <v>1007</v>
      </c>
    </row>
    <row r="13" spans="2:8" ht="15.95" customHeight="1" x14ac:dyDescent="0.2">
      <c r="B13" s="170" t="s">
        <v>311</v>
      </c>
      <c r="C13" s="217" t="s">
        <v>197</v>
      </c>
      <c r="D13" s="566" t="s">
        <v>1008</v>
      </c>
      <c r="E13" s="566" t="s">
        <v>1007</v>
      </c>
      <c r="F13" s="566" t="s">
        <v>1006</v>
      </c>
      <c r="G13" s="567" t="s">
        <v>1009</v>
      </c>
      <c r="H13" s="566" t="s">
        <v>1006</v>
      </c>
    </row>
    <row r="14" spans="2:8" ht="15.95" customHeight="1" x14ac:dyDescent="0.2">
      <c r="B14" s="170" t="s">
        <v>312</v>
      </c>
      <c r="C14" s="217" t="s">
        <v>198</v>
      </c>
      <c r="D14" s="566" t="s">
        <v>1008</v>
      </c>
      <c r="E14" s="566" t="s">
        <v>1007</v>
      </c>
      <c r="F14" s="567" t="s">
        <v>1009</v>
      </c>
      <c r="G14" s="567" t="s">
        <v>1009</v>
      </c>
      <c r="H14" s="567" t="s">
        <v>1009</v>
      </c>
    </row>
    <row r="15" spans="2:8" ht="15.95" customHeight="1" x14ac:dyDescent="0.2">
      <c r="B15" s="170" t="s">
        <v>313</v>
      </c>
      <c r="C15" s="218" t="s">
        <v>199</v>
      </c>
      <c r="D15" s="566" t="s">
        <v>1008</v>
      </c>
      <c r="E15" s="566" t="s">
        <v>1007</v>
      </c>
      <c r="F15" s="567" t="s">
        <v>1009</v>
      </c>
      <c r="G15" s="567" t="s">
        <v>1009</v>
      </c>
      <c r="H15" s="566" t="s">
        <v>1006</v>
      </c>
    </row>
    <row r="16" spans="2:8" ht="15.95" customHeight="1" x14ac:dyDescent="0.2">
      <c r="B16" s="170" t="s">
        <v>314</v>
      </c>
      <c r="C16" s="218" t="s">
        <v>379</v>
      </c>
      <c r="D16" s="566" t="s">
        <v>1008</v>
      </c>
      <c r="E16" s="566" t="s">
        <v>1007</v>
      </c>
      <c r="F16" s="567" t="s">
        <v>1009</v>
      </c>
      <c r="G16" s="567" t="s">
        <v>1009</v>
      </c>
      <c r="H16" s="566" t="s">
        <v>1006</v>
      </c>
    </row>
    <row r="17" spans="2:16" ht="15.95" customHeight="1" x14ac:dyDescent="0.2">
      <c r="B17" s="170" t="s">
        <v>315</v>
      </c>
      <c r="C17" s="217" t="s">
        <v>1020</v>
      </c>
      <c r="D17" s="566" t="s">
        <v>1007</v>
      </c>
      <c r="E17" s="566" t="s">
        <v>1007</v>
      </c>
      <c r="F17" s="767" t="s">
        <v>1009</v>
      </c>
      <c r="G17" s="566" t="s">
        <v>1006</v>
      </c>
      <c r="H17" s="567" t="s">
        <v>1009</v>
      </c>
    </row>
    <row r="18" spans="2:16" ht="15.95" customHeight="1" x14ac:dyDescent="0.2">
      <c r="B18" s="170" t="s">
        <v>316</v>
      </c>
      <c r="C18" s="217" t="s">
        <v>200</v>
      </c>
      <c r="D18" s="567" t="s">
        <v>1009</v>
      </c>
      <c r="E18" s="566" t="s">
        <v>1007</v>
      </c>
      <c r="F18" s="566" t="s">
        <v>1006</v>
      </c>
      <c r="G18" s="767" t="s">
        <v>1009</v>
      </c>
      <c r="H18" s="567" t="s">
        <v>1009</v>
      </c>
    </row>
    <row r="19" spans="2:16" ht="15.95" customHeight="1" thickBot="1" x14ac:dyDescent="0.25">
      <c r="B19" s="171" t="s">
        <v>317</v>
      </c>
      <c r="C19" s="217" t="s">
        <v>202</v>
      </c>
      <c r="D19" s="567" t="s">
        <v>1009</v>
      </c>
      <c r="E19" s="566" t="s">
        <v>1007</v>
      </c>
      <c r="F19" s="566" t="s">
        <v>1006</v>
      </c>
      <c r="G19" s="767" t="s">
        <v>1009</v>
      </c>
      <c r="H19" s="567" t="s">
        <v>1009</v>
      </c>
    </row>
    <row r="20" spans="2:16" ht="15.75" thickBot="1" x14ac:dyDescent="0.25">
      <c r="B20" s="171" t="s">
        <v>318</v>
      </c>
      <c r="C20" s="217" t="s">
        <v>203</v>
      </c>
      <c r="D20" s="566" t="s">
        <v>1007</v>
      </c>
      <c r="E20" s="566" t="s">
        <v>1007</v>
      </c>
      <c r="F20" s="566" t="s">
        <v>1006</v>
      </c>
      <c r="G20" s="767" t="s">
        <v>1009</v>
      </c>
      <c r="H20" s="567" t="s">
        <v>1009</v>
      </c>
      <c r="J20" s="728" t="s">
        <v>1019</v>
      </c>
      <c r="K20" s="729"/>
      <c r="P20" s="565"/>
    </row>
    <row r="21" spans="2:16" ht="15.75" thickBot="1" x14ac:dyDescent="0.25">
      <c r="B21" s="171" t="s">
        <v>319</v>
      </c>
      <c r="C21" s="217" t="s">
        <v>204</v>
      </c>
      <c r="D21" s="566" t="s">
        <v>1008</v>
      </c>
      <c r="E21" s="566" t="s">
        <v>1007</v>
      </c>
      <c r="F21" s="767" t="s">
        <v>1009</v>
      </c>
      <c r="G21" s="767" t="s">
        <v>1006</v>
      </c>
      <c r="H21" s="567" t="s">
        <v>1009</v>
      </c>
      <c r="J21" s="570" t="s">
        <v>962</v>
      </c>
      <c r="K21" s="571" t="s">
        <v>760</v>
      </c>
      <c r="P21" s="565"/>
    </row>
    <row r="22" spans="2:16" s="565" customFormat="1" ht="15.75" thickBot="1" x14ac:dyDescent="0.25">
      <c r="B22" s="171" t="s">
        <v>320</v>
      </c>
      <c r="C22" s="217" t="s">
        <v>205</v>
      </c>
      <c r="D22" s="566" t="s">
        <v>1007</v>
      </c>
      <c r="E22" s="566" t="s">
        <v>1007</v>
      </c>
      <c r="F22" s="566" t="s">
        <v>1006</v>
      </c>
      <c r="G22" s="767" t="s">
        <v>1009</v>
      </c>
      <c r="H22" s="567" t="s">
        <v>1009</v>
      </c>
      <c r="J22" s="570" t="s">
        <v>960</v>
      </c>
      <c r="K22" s="569" t="s">
        <v>1018</v>
      </c>
      <c r="L22" s="322"/>
      <c r="M22" s="322"/>
      <c r="N22" s="322"/>
      <c r="O22" s="322"/>
    </row>
    <row r="23" spans="2:16" s="565" customFormat="1" ht="15.75" thickBot="1" x14ac:dyDescent="0.25">
      <c r="B23" s="171" t="s">
        <v>321</v>
      </c>
      <c r="C23" s="217" t="s">
        <v>206</v>
      </c>
      <c r="D23" s="566" t="s">
        <v>1007</v>
      </c>
      <c r="E23" s="566" t="s">
        <v>1008</v>
      </c>
      <c r="F23" s="567" t="s">
        <v>1009</v>
      </c>
      <c r="G23" s="567" t="s">
        <v>1009</v>
      </c>
      <c r="H23" s="567" t="s">
        <v>1009</v>
      </c>
      <c r="J23" s="570" t="s">
        <v>973</v>
      </c>
      <c r="K23" s="571" t="s">
        <v>1017</v>
      </c>
      <c r="L23" s="322"/>
      <c r="M23" s="322"/>
      <c r="N23" s="322"/>
      <c r="O23" s="322"/>
    </row>
    <row r="24" spans="2:16" s="565" customFormat="1" ht="15.75" thickBot="1" x14ac:dyDescent="0.25">
      <c r="B24" s="171" t="s">
        <v>322</v>
      </c>
      <c r="C24" s="217" t="s">
        <v>207</v>
      </c>
      <c r="D24" s="566" t="s">
        <v>1007</v>
      </c>
      <c r="E24" s="566" t="s">
        <v>1007</v>
      </c>
      <c r="F24" s="566" t="s">
        <v>1006</v>
      </c>
      <c r="G24" s="566" t="s">
        <v>1006</v>
      </c>
      <c r="H24" s="567" t="s">
        <v>1009</v>
      </c>
      <c r="J24" s="570" t="s">
        <v>958</v>
      </c>
      <c r="K24" s="569" t="s">
        <v>1016</v>
      </c>
      <c r="L24" s="322"/>
      <c r="M24" s="322"/>
      <c r="N24" s="322"/>
      <c r="O24" s="322"/>
    </row>
    <row r="25" spans="2:16" s="565" customFormat="1" ht="15.75" thickBot="1" x14ac:dyDescent="0.25">
      <c r="B25" s="171" t="s">
        <v>323</v>
      </c>
      <c r="C25" s="217" t="s">
        <v>208</v>
      </c>
      <c r="D25" s="566" t="s">
        <v>1007</v>
      </c>
      <c r="E25" s="566" t="s">
        <v>1007</v>
      </c>
      <c r="F25" s="566" t="s">
        <v>1006</v>
      </c>
      <c r="G25" s="767" t="s">
        <v>1009</v>
      </c>
      <c r="H25" s="567" t="s">
        <v>1009</v>
      </c>
      <c r="J25" s="570" t="s">
        <v>1015</v>
      </c>
      <c r="K25" s="569" t="s">
        <v>1014</v>
      </c>
      <c r="L25" s="322"/>
      <c r="M25" s="322"/>
      <c r="N25" s="322"/>
      <c r="O25" s="322"/>
    </row>
    <row r="26" spans="2:16" s="565" customFormat="1" ht="15.75" thickBot="1" x14ac:dyDescent="0.25">
      <c r="B26" s="171" t="s">
        <v>324</v>
      </c>
      <c r="C26" s="217" t="s">
        <v>209</v>
      </c>
      <c r="D26" s="566" t="s">
        <v>1008</v>
      </c>
      <c r="E26" s="566" t="s">
        <v>1007</v>
      </c>
      <c r="F26" s="567" t="s">
        <v>1009</v>
      </c>
      <c r="G26" s="567" t="s">
        <v>1009</v>
      </c>
      <c r="H26" s="567" t="s">
        <v>1009</v>
      </c>
      <c r="J26" s="570"/>
      <c r="K26" s="569"/>
      <c r="L26" s="322"/>
      <c r="M26" s="322"/>
      <c r="N26" s="322"/>
      <c r="O26" s="322"/>
      <c r="P26" s="322"/>
    </row>
    <row r="27" spans="2:16" s="565" customFormat="1" ht="15.75" thickBot="1" x14ac:dyDescent="0.25">
      <c r="B27" s="170" t="s">
        <v>325</v>
      </c>
      <c r="C27" s="217" t="s">
        <v>377</v>
      </c>
      <c r="D27" s="566" t="s">
        <v>1008</v>
      </c>
      <c r="E27" s="566" t="s">
        <v>1007</v>
      </c>
      <c r="F27" s="566" t="s">
        <v>1006</v>
      </c>
      <c r="G27" s="767" t="s">
        <v>1007</v>
      </c>
      <c r="H27" s="567" t="s">
        <v>1009</v>
      </c>
      <c r="J27" s="570"/>
      <c r="K27" s="569"/>
      <c r="L27" s="322"/>
      <c r="M27" s="322"/>
      <c r="N27" s="322"/>
      <c r="O27" s="322"/>
      <c r="P27" s="322"/>
    </row>
    <row r="28" spans="2:16" s="565" customFormat="1" ht="15" x14ac:dyDescent="0.2">
      <c r="B28" s="170" t="s">
        <v>326</v>
      </c>
      <c r="C28" s="219" t="s">
        <v>210</v>
      </c>
      <c r="D28" s="566" t="s">
        <v>1008</v>
      </c>
      <c r="E28" s="566" t="s">
        <v>1007</v>
      </c>
      <c r="F28" s="566" t="s">
        <v>1006</v>
      </c>
      <c r="G28" s="767" t="s">
        <v>1007</v>
      </c>
      <c r="H28" s="767" t="s">
        <v>1007</v>
      </c>
      <c r="J28" s="322"/>
      <c r="K28" s="322"/>
      <c r="L28" s="322"/>
      <c r="M28" s="322"/>
      <c r="N28" s="322"/>
      <c r="O28" s="322"/>
      <c r="P28" s="322"/>
    </row>
    <row r="29" spans="2:16" ht="15" x14ac:dyDescent="0.2">
      <c r="B29" s="170" t="s">
        <v>327</v>
      </c>
      <c r="C29" s="219" t="s">
        <v>211</v>
      </c>
      <c r="D29" s="566" t="s">
        <v>1007</v>
      </c>
      <c r="E29" s="567" t="s">
        <v>1009</v>
      </c>
      <c r="F29" s="566" t="s">
        <v>1006</v>
      </c>
      <c r="G29" s="567" t="s">
        <v>1009</v>
      </c>
      <c r="H29" s="567" t="s">
        <v>1009</v>
      </c>
      <c r="J29" s="560" t="s">
        <v>1013</v>
      </c>
    </row>
    <row r="30" spans="2:16" ht="15" x14ac:dyDescent="0.2">
      <c r="B30" s="170" t="s">
        <v>328</v>
      </c>
      <c r="C30" s="219" t="s">
        <v>212</v>
      </c>
      <c r="D30" s="566" t="s">
        <v>1008</v>
      </c>
      <c r="E30" s="567" t="s">
        <v>1009</v>
      </c>
      <c r="F30" s="566" t="s">
        <v>1006</v>
      </c>
      <c r="G30" s="567" t="s">
        <v>1009</v>
      </c>
      <c r="H30" s="566" t="s">
        <v>1007</v>
      </c>
    </row>
    <row r="31" spans="2:16" ht="15" x14ac:dyDescent="0.2">
      <c r="B31" s="170" t="s">
        <v>329</v>
      </c>
      <c r="C31" s="219" t="s">
        <v>213</v>
      </c>
      <c r="D31" s="566" t="s">
        <v>1007</v>
      </c>
      <c r="E31" s="567" t="s">
        <v>1009</v>
      </c>
      <c r="F31" s="567" t="s">
        <v>1009</v>
      </c>
      <c r="G31" s="567" t="s">
        <v>1009</v>
      </c>
      <c r="H31" s="566" t="s">
        <v>1006</v>
      </c>
      <c r="J31" s="568" t="s">
        <v>1057</v>
      </c>
    </row>
    <row r="32" spans="2:16" ht="15" x14ac:dyDescent="0.2">
      <c r="B32" s="170" t="s">
        <v>330</v>
      </c>
      <c r="C32" s="219" t="s">
        <v>214</v>
      </c>
      <c r="D32" s="566" t="s">
        <v>1007</v>
      </c>
      <c r="E32" s="567" t="s">
        <v>1009</v>
      </c>
      <c r="F32" s="566" t="s">
        <v>1006</v>
      </c>
      <c r="G32" s="566" t="s">
        <v>1007</v>
      </c>
      <c r="H32" s="567" t="s">
        <v>1009</v>
      </c>
      <c r="J32" s="568" t="s">
        <v>1012</v>
      </c>
    </row>
    <row r="33" spans="2:15" ht="15" x14ac:dyDescent="0.2">
      <c r="B33" s="170" t="s">
        <v>331</v>
      </c>
      <c r="C33" s="219" t="s">
        <v>215</v>
      </c>
      <c r="D33" s="567" t="s">
        <v>1009</v>
      </c>
      <c r="E33" s="567" t="s">
        <v>1009</v>
      </c>
      <c r="F33" s="767" t="s">
        <v>1007</v>
      </c>
      <c r="G33" s="566" t="s">
        <v>1006</v>
      </c>
      <c r="H33" s="567" t="s">
        <v>1009</v>
      </c>
      <c r="J33" s="568" t="s">
        <v>1011</v>
      </c>
    </row>
    <row r="34" spans="2:15" ht="15" x14ac:dyDescent="0.2">
      <c r="B34" s="243" t="s">
        <v>332</v>
      </c>
      <c r="C34" s="242" t="s">
        <v>216</v>
      </c>
      <c r="D34" s="566" t="s">
        <v>1008</v>
      </c>
      <c r="E34" s="566" t="s">
        <v>1007</v>
      </c>
      <c r="F34" s="767" t="s">
        <v>1009</v>
      </c>
      <c r="G34" s="566" t="s">
        <v>1006</v>
      </c>
      <c r="H34" s="566" t="s">
        <v>1007</v>
      </c>
      <c r="J34" s="568" t="s">
        <v>1010</v>
      </c>
      <c r="L34" s="565"/>
      <c r="M34" s="565"/>
      <c r="N34" s="565"/>
      <c r="O34" s="565"/>
    </row>
    <row r="35" spans="2:15" ht="15" x14ac:dyDescent="0.2">
      <c r="B35" s="170" t="s">
        <v>333</v>
      </c>
      <c r="C35" s="219" t="s">
        <v>217</v>
      </c>
      <c r="D35" s="566" t="s">
        <v>1007</v>
      </c>
      <c r="E35" s="567" t="s">
        <v>1009</v>
      </c>
      <c r="F35" s="767" t="s">
        <v>1007</v>
      </c>
      <c r="G35" s="566" t="s">
        <v>1006</v>
      </c>
      <c r="H35" s="566" t="s">
        <v>1007</v>
      </c>
      <c r="J35" s="568"/>
      <c r="L35" s="565"/>
      <c r="M35" s="565"/>
      <c r="N35" s="565"/>
      <c r="O35" s="565"/>
    </row>
    <row r="36" spans="2:15" ht="15" x14ac:dyDescent="0.2">
      <c r="B36" s="170" t="s">
        <v>334</v>
      </c>
      <c r="C36" s="217" t="s">
        <v>218</v>
      </c>
      <c r="D36" s="566" t="s">
        <v>1007</v>
      </c>
      <c r="E36" s="567" t="s">
        <v>1009</v>
      </c>
      <c r="F36" s="767" t="s">
        <v>1007</v>
      </c>
      <c r="G36" s="566" t="s">
        <v>1006</v>
      </c>
      <c r="H36" s="566" t="s">
        <v>1007</v>
      </c>
    </row>
    <row r="37" spans="2:15" ht="15" x14ac:dyDescent="0.2">
      <c r="B37" s="170" t="s">
        <v>335</v>
      </c>
      <c r="C37" s="217" t="s">
        <v>219</v>
      </c>
      <c r="D37" s="567" t="s">
        <v>1009</v>
      </c>
      <c r="E37" s="567" t="s">
        <v>1009</v>
      </c>
      <c r="F37" s="567" t="s">
        <v>1009</v>
      </c>
      <c r="G37" s="566" t="s">
        <v>1006</v>
      </c>
      <c r="H37" s="767" t="s">
        <v>1007</v>
      </c>
    </row>
    <row r="38" spans="2:15" ht="15" x14ac:dyDescent="0.2">
      <c r="B38" s="171" t="s">
        <v>336</v>
      </c>
      <c r="C38" s="217" t="s">
        <v>220</v>
      </c>
      <c r="D38" s="566" t="s">
        <v>1007</v>
      </c>
      <c r="E38" s="567" t="s">
        <v>1009</v>
      </c>
      <c r="F38" s="566" t="s">
        <v>1006</v>
      </c>
      <c r="G38" s="567" t="s">
        <v>1009</v>
      </c>
      <c r="H38" s="566" t="s">
        <v>1006</v>
      </c>
    </row>
    <row r="39" spans="2:15" ht="15" x14ac:dyDescent="0.2">
      <c r="B39" s="171" t="s">
        <v>337</v>
      </c>
      <c r="C39" s="217" t="s">
        <v>221</v>
      </c>
      <c r="D39" s="566" t="s">
        <v>1007</v>
      </c>
      <c r="E39" s="567" t="s">
        <v>1009</v>
      </c>
      <c r="F39" s="567" t="s">
        <v>1009</v>
      </c>
      <c r="G39" s="567" t="s">
        <v>1009</v>
      </c>
      <c r="H39" s="566" t="s">
        <v>1006</v>
      </c>
    </row>
    <row r="40" spans="2:15" ht="15" x14ac:dyDescent="0.2">
      <c r="B40" s="171" t="s">
        <v>338</v>
      </c>
      <c r="C40" s="217" t="s">
        <v>222</v>
      </c>
      <c r="D40" s="566" t="s">
        <v>1007</v>
      </c>
      <c r="E40" s="567" t="s">
        <v>1009</v>
      </c>
      <c r="F40" s="566" t="s">
        <v>1006</v>
      </c>
      <c r="G40" s="566" t="s">
        <v>1007</v>
      </c>
      <c r="H40" s="566" t="s">
        <v>1007</v>
      </c>
    </row>
    <row r="41" spans="2:15" ht="15" x14ac:dyDescent="0.2">
      <c r="B41" s="171" t="s">
        <v>339</v>
      </c>
      <c r="C41" s="217" t="s">
        <v>223</v>
      </c>
      <c r="D41" s="566" t="s">
        <v>1008</v>
      </c>
      <c r="E41" s="567" t="s">
        <v>1009</v>
      </c>
      <c r="F41" s="566" t="s">
        <v>1006</v>
      </c>
      <c r="G41" s="567" t="s">
        <v>1009</v>
      </c>
      <c r="H41" s="767" t="s">
        <v>1009</v>
      </c>
    </row>
    <row r="42" spans="2:15" ht="15" x14ac:dyDescent="0.2">
      <c r="B42" s="171" t="s">
        <v>340</v>
      </c>
      <c r="C42" s="217" t="s">
        <v>224</v>
      </c>
      <c r="D42" s="566" t="s">
        <v>1008</v>
      </c>
      <c r="E42" s="567" t="s">
        <v>1009</v>
      </c>
      <c r="F42" s="567" t="s">
        <v>1009</v>
      </c>
      <c r="G42" s="567" t="s">
        <v>1009</v>
      </c>
      <c r="H42" s="566" t="s">
        <v>1006</v>
      </c>
    </row>
    <row r="43" spans="2:15" ht="15" x14ac:dyDescent="0.2">
      <c r="B43" s="171" t="s">
        <v>341</v>
      </c>
      <c r="C43" s="217" t="s">
        <v>225</v>
      </c>
      <c r="D43" s="567" t="s">
        <v>1009</v>
      </c>
      <c r="E43" s="567" t="s">
        <v>1009</v>
      </c>
      <c r="F43" s="567" t="s">
        <v>1009</v>
      </c>
      <c r="G43" s="567" t="s">
        <v>1009</v>
      </c>
      <c r="H43" s="566" t="s">
        <v>1006</v>
      </c>
    </row>
    <row r="44" spans="2:15" ht="15" x14ac:dyDescent="0.2">
      <c r="B44" s="171" t="s">
        <v>342</v>
      </c>
      <c r="C44" s="217" t="s">
        <v>226</v>
      </c>
      <c r="D44" s="567" t="s">
        <v>1009</v>
      </c>
      <c r="E44" s="567" t="s">
        <v>1009</v>
      </c>
      <c r="F44" s="567" t="s">
        <v>1009</v>
      </c>
      <c r="G44" s="567" t="s">
        <v>1009</v>
      </c>
      <c r="H44" s="566" t="s">
        <v>1006</v>
      </c>
    </row>
    <row r="45" spans="2:15" ht="15" x14ac:dyDescent="0.2">
      <c r="B45" s="171" t="s">
        <v>343</v>
      </c>
      <c r="C45" s="217" t="s">
        <v>227</v>
      </c>
      <c r="D45" s="566" t="s">
        <v>1007</v>
      </c>
      <c r="E45" s="567" t="s">
        <v>1009</v>
      </c>
      <c r="F45" s="566" t="s">
        <v>1006</v>
      </c>
      <c r="G45" s="767" t="s">
        <v>1007</v>
      </c>
      <c r="H45" s="767" t="s">
        <v>1009</v>
      </c>
    </row>
    <row r="46" spans="2:15" ht="15" x14ac:dyDescent="0.2">
      <c r="B46" s="171" t="s">
        <v>344</v>
      </c>
      <c r="C46" s="217" t="s">
        <v>228</v>
      </c>
      <c r="D46" s="566" t="s">
        <v>1007</v>
      </c>
      <c r="E46" s="566" t="s">
        <v>1007</v>
      </c>
      <c r="F46" s="566" t="s">
        <v>1006</v>
      </c>
      <c r="G46" s="767" t="s">
        <v>1009</v>
      </c>
      <c r="H46" s="567" t="s">
        <v>1009</v>
      </c>
    </row>
    <row r="47" spans="2:15" ht="15" x14ac:dyDescent="0.2">
      <c r="B47" s="171" t="s">
        <v>345</v>
      </c>
      <c r="C47" s="217" t="s">
        <v>229</v>
      </c>
      <c r="D47" s="566" t="s">
        <v>1008</v>
      </c>
      <c r="E47" s="566" t="s">
        <v>1007</v>
      </c>
      <c r="F47" s="566" t="s">
        <v>1006</v>
      </c>
      <c r="G47" s="567" t="s">
        <v>1009</v>
      </c>
      <c r="H47" s="567" t="s">
        <v>1009</v>
      </c>
    </row>
    <row r="48" spans="2:15" ht="15" x14ac:dyDescent="0.2">
      <c r="B48" s="171" t="s">
        <v>346</v>
      </c>
      <c r="C48" s="217" t="s">
        <v>230</v>
      </c>
      <c r="D48" s="566" t="s">
        <v>1008</v>
      </c>
      <c r="E48" s="566" t="s">
        <v>1007</v>
      </c>
      <c r="F48" s="566" t="s">
        <v>1006</v>
      </c>
      <c r="G48" s="767" t="s">
        <v>1009</v>
      </c>
      <c r="H48" s="567" t="s">
        <v>1009</v>
      </c>
    </row>
    <row r="49" spans="2:8" ht="15" x14ac:dyDescent="0.2">
      <c r="B49" s="171" t="s">
        <v>347</v>
      </c>
      <c r="C49" s="217" t="s">
        <v>231</v>
      </c>
      <c r="D49" s="566" t="s">
        <v>1008</v>
      </c>
      <c r="E49" s="566" t="s">
        <v>1007</v>
      </c>
      <c r="F49" s="767" t="s">
        <v>1007</v>
      </c>
      <c r="G49" s="566" t="s">
        <v>1006</v>
      </c>
      <c r="H49" s="767" t="s">
        <v>1009</v>
      </c>
    </row>
    <row r="50" spans="2:8" ht="15" x14ac:dyDescent="0.2">
      <c r="B50" s="170" t="s">
        <v>348</v>
      </c>
      <c r="C50" s="220" t="s">
        <v>233</v>
      </c>
      <c r="D50" s="566" t="s">
        <v>1008</v>
      </c>
      <c r="E50" s="567" t="s">
        <v>1009</v>
      </c>
      <c r="F50" s="566" t="s">
        <v>1007</v>
      </c>
      <c r="G50" s="566" t="s">
        <v>1007</v>
      </c>
      <c r="H50" s="566" t="s">
        <v>1006</v>
      </c>
    </row>
    <row r="51" spans="2:8" ht="15" x14ac:dyDescent="0.2">
      <c r="B51" s="171" t="s">
        <v>349</v>
      </c>
      <c r="C51" s="217" t="s">
        <v>234</v>
      </c>
      <c r="D51" s="566" t="s">
        <v>1008</v>
      </c>
      <c r="E51" s="566" t="s">
        <v>1007</v>
      </c>
      <c r="F51" s="567" t="s">
        <v>1009</v>
      </c>
      <c r="G51" s="567" t="s">
        <v>1009</v>
      </c>
      <c r="H51" s="566" t="s">
        <v>1006</v>
      </c>
    </row>
    <row r="52" spans="2:8" ht="15" x14ac:dyDescent="0.2">
      <c r="B52" s="172" t="s">
        <v>350</v>
      </c>
      <c r="C52" s="217" t="s">
        <v>235</v>
      </c>
      <c r="D52" s="566" t="s">
        <v>1008</v>
      </c>
      <c r="E52" s="567" t="s">
        <v>1009</v>
      </c>
      <c r="F52" s="567" t="s">
        <v>1009</v>
      </c>
      <c r="G52" s="567" t="s">
        <v>1009</v>
      </c>
      <c r="H52" s="566" t="s">
        <v>1006</v>
      </c>
    </row>
    <row r="53" spans="2:8" ht="15" x14ac:dyDescent="0.2">
      <c r="B53" s="170" t="s">
        <v>351</v>
      </c>
      <c r="C53" s="220" t="s">
        <v>236</v>
      </c>
      <c r="D53" s="566" t="s">
        <v>1007</v>
      </c>
      <c r="E53" s="567" t="s">
        <v>1009</v>
      </c>
      <c r="F53" s="566" t="s">
        <v>1006</v>
      </c>
      <c r="G53" s="767" t="s">
        <v>1007</v>
      </c>
      <c r="H53" s="567" t="s">
        <v>1009</v>
      </c>
    </row>
    <row r="54" spans="2:8" ht="15" x14ac:dyDescent="0.2">
      <c r="B54" s="171" t="s">
        <v>352</v>
      </c>
      <c r="C54" s="219" t="s">
        <v>237</v>
      </c>
      <c r="D54" s="566" t="s">
        <v>1008</v>
      </c>
      <c r="E54" s="566" t="s">
        <v>1007</v>
      </c>
      <c r="F54" s="566" t="s">
        <v>1006</v>
      </c>
      <c r="G54" s="767" t="s">
        <v>1007</v>
      </c>
      <c r="H54" s="567" t="s">
        <v>1009</v>
      </c>
    </row>
    <row r="55" spans="2:8" ht="15" x14ac:dyDescent="0.2">
      <c r="B55" s="171" t="s">
        <v>353</v>
      </c>
      <c r="C55" s="219" t="s">
        <v>238</v>
      </c>
      <c r="D55" s="566" t="s">
        <v>1007</v>
      </c>
      <c r="E55" s="567" t="s">
        <v>1009</v>
      </c>
      <c r="F55" s="566" t="s">
        <v>1006</v>
      </c>
      <c r="G55" s="767" t="s">
        <v>1007</v>
      </c>
      <c r="H55" s="567" t="s">
        <v>1009</v>
      </c>
    </row>
    <row r="56" spans="2:8" ht="15" x14ac:dyDescent="0.2">
      <c r="B56" s="171" t="s">
        <v>354</v>
      </c>
      <c r="C56" s="219" t="s">
        <v>239</v>
      </c>
      <c r="D56" s="566" t="s">
        <v>1008</v>
      </c>
      <c r="E56" s="566" t="s">
        <v>1007</v>
      </c>
      <c r="F56" s="566" t="s">
        <v>1006</v>
      </c>
      <c r="G56" s="767" t="s">
        <v>1007</v>
      </c>
      <c r="H56" s="567" t="s">
        <v>1009</v>
      </c>
    </row>
    <row r="57" spans="2:8" ht="15" x14ac:dyDescent="0.2">
      <c r="B57" s="170" t="s">
        <v>355</v>
      </c>
      <c r="C57" s="219" t="s">
        <v>240</v>
      </c>
      <c r="D57" s="566" t="s">
        <v>1008</v>
      </c>
      <c r="E57" s="566" t="s">
        <v>1007</v>
      </c>
      <c r="F57" s="566" t="s">
        <v>1006</v>
      </c>
      <c r="G57" s="767" t="s">
        <v>1007</v>
      </c>
      <c r="H57" s="567" t="s">
        <v>1009</v>
      </c>
    </row>
    <row r="58" spans="2:8" ht="15" x14ac:dyDescent="0.2">
      <c r="B58" s="170" t="s">
        <v>356</v>
      </c>
      <c r="C58" s="217" t="s">
        <v>241</v>
      </c>
      <c r="D58" s="566" t="s">
        <v>1008</v>
      </c>
      <c r="E58" s="566" t="s">
        <v>1007</v>
      </c>
      <c r="F58" s="566" t="s">
        <v>1006</v>
      </c>
      <c r="G58" s="767" t="s">
        <v>1007</v>
      </c>
      <c r="H58" s="567" t="s">
        <v>1009</v>
      </c>
    </row>
    <row r="59" spans="2:8" ht="15" x14ac:dyDescent="0.2">
      <c r="B59" s="170" t="s">
        <v>357</v>
      </c>
      <c r="C59" s="217" t="s">
        <v>242</v>
      </c>
      <c r="D59" s="566" t="s">
        <v>1007</v>
      </c>
      <c r="E59" s="566" t="s">
        <v>1008</v>
      </c>
      <c r="F59" s="566" t="s">
        <v>1006</v>
      </c>
      <c r="G59" s="767" t="s">
        <v>1009</v>
      </c>
      <c r="H59" s="567" t="s">
        <v>1009</v>
      </c>
    </row>
    <row r="60" spans="2:8" ht="15" x14ac:dyDescent="0.2">
      <c r="B60" s="170" t="s">
        <v>358</v>
      </c>
      <c r="C60" s="218" t="s">
        <v>243</v>
      </c>
      <c r="D60" s="566" t="s">
        <v>1007</v>
      </c>
      <c r="E60" s="566" t="s">
        <v>1008</v>
      </c>
      <c r="F60" s="566" t="s">
        <v>1006</v>
      </c>
      <c r="G60" s="767" t="s">
        <v>1007</v>
      </c>
      <c r="H60" s="567" t="s">
        <v>1009</v>
      </c>
    </row>
    <row r="61" spans="2:8" ht="15" x14ac:dyDescent="0.2">
      <c r="B61" s="172" t="s">
        <v>359</v>
      </c>
      <c r="C61" s="218" t="s">
        <v>244</v>
      </c>
      <c r="D61" s="566" t="s">
        <v>1008</v>
      </c>
      <c r="E61" s="567" t="s">
        <v>1009</v>
      </c>
      <c r="F61" s="566" t="s">
        <v>1006</v>
      </c>
      <c r="G61" s="567" t="s">
        <v>1009</v>
      </c>
      <c r="H61" s="566" t="s">
        <v>1006</v>
      </c>
    </row>
    <row r="62" spans="2:8" ht="15" x14ac:dyDescent="0.2">
      <c r="B62" s="172" t="s">
        <v>360</v>
      </c>
      <c r="C62" s="218" t="s">
        <v>481</v>
      </c>
      <c r="D62" s="566" t="s">
        <v>1008</v>
      </c>
      <c r="E62" s="566" t="s">
        <v>1007</v>
      </c>
      <c r="F62" s="767" t="s">
        <v>1007</v>
      </c>
      <c r="G62" s="767" t="s">
        <v>1007</v>
      </c>
      <c r="H62" s="566" t="s">
        <v>1006</v>
      </c>
    </row>
    <row r="63" spans="2:8" ht="15" x14ac:dyDescent="0.2">
      <c r="B63" s="172" t="s">
        <v>361</v>
      </c>
      <c r="C63" s="218" t="s">
        <v>245</v>
      </c>
      <c r="D63" s="566" t="s">
        <v>1008</v>
      </c>
      <c r="E63" s="566" t="s">
        <v>1007</v>
      </c>
      <c r="F63" s="567" t="s">
        <v>1009</v>
      </c>
      <c r="G63" s="566" t="s">
        <v>1006</v>
      </c>
      <c r="H63" s="567" t="s">
        <v>1009</v>
      </c>
    </row>
    <row r="64" spans="2:8" ht="15" x14ac:dyDescent="0.2">
      <c r="B64" s="172" t="s">
        <v>362</v>
      </c>
      <c r="C64" s="217" t="s">
        <v>246</v>
      </c>
      <c r="D64" s="566" t="s">
        <v>1008</v>
      </c>
      <c r="E64" s="566" t="s">
        <v>1007</v>
      </c>
      <c r="F64" s="566" t="s">
        <v>1006</v>
      </c>
      <c r="G64" s="767" t="s">
        <v>1007</v>
      </c>
      <c r="H64" s="767" t="s">
        <v>1007</v>
      </c>
    </row>
    <row r="65" spans="2:8" ht="15" x14ac:dyDescent="0.2">
      <c r="B65" s="170" t="s">
        <v>363</v>
      </c>
      <c r="C65" s="217" t="s">
        <v>190</v>
      </c>
      <c r="D65" s="566" t="s">
        <v>1008</v>
      </c>
      <c r="E65" s="567" t="s">
        <v>1009</v>
      </c>
      <c r="F65" s="767" t="s">
        <v>1007</v>
      </c>
      <c r="G65" s="566" t="s">
        <v>1006</v>
      </c>
      <c r="H65" s="767" t="s">
        <v>1009</v>
      </c>
    </row>
    <row r="66" spans="2:8" ht="15" x14ac:dyDescent="0.2">
      <c r="B66" s="171" t="s">
        <v>364</v>
      </c>
      <c r="C66" s="217" t="s">
        <v>191</v>
      </c>
      <c r="D66" s="566" t="s">
        <v>1008</v>
      </c>
      <c r="E66" s="567" t="s">
        <v>1009</v>
      </c>
      <c r="F66" s="767" t="s">
        <v>1007</v>
      </c>
      <c r="G66" s="767" t="s">
        <v>1007</v>
      </c>
      <c r="H66" s="566" t="s">
        <v>1006</v>
      </c>
    </row>
    <row r="67" spans="2:8" ht="15" x14ac:dyDescent="0.2">
      <c r="B67" s="171" t="s">
        <v>365</v>
      </c>
      <c r="C67" s="218" t="s">
        <v>192</v>
      </c>
      <c r="D67" s="566" t="s">
        <v>1008</v>
      </c>
      <c r="E67" s="566" t="s">
        <v>1007</v>
      </c>
      <c r="F67" s="566" t="s">
        <v>1006</v>
      </c>
      <c r="G67" s="767" t="s">
        <v>1007</v>
      </c>
      <c r="H67" s="767" t="s">
        <v>1009</v>
      </c>
    </row>
    <row r="68" spans="2:8" ht="15" x14ac:dyDescent="0.2">
      <c r="B68" s="171" t="s">
        <v>366</v>
      </c>
      <c r="C68" s="217" t="s">
        <v>193</v>
      </c>
      <c r="D68" s="566" t="s">
        <v>1008</v>
      </c>
      <c r="E68" s="566" t="s">
        <v>1007</v>
      </c>
      <c r="F68" s="567" t="s">
        <v>1009</v>
      </c>
      <c r="G68" s="567" t="s">
        <v>1009</v>
      </c>
      <c r="H68" s="567" t="s">
        <v>1009</v>
      </c>
    </row>
    <row r="69" spans="2:8" ht="15" x14ac:dyDescent="0.2">
      <c r="B69" s="170" t="s">
        <v>367</v>
      </c>
      <c r="C69" s="217" t="s">
        <v>187</v>
      </c>
      <c r="D69" s="566" t="s">
        <v>1008</v>
      </c>
      <c r="E69" s="566" t="s">
        <v>1007</v>
      </c>
      <c r="F69" s="767" t="s">
        <v>1007</v>
      </c>
      <c r="G69" s="566" t="s">
        <v>1006</v>
      </c>
      <c r="H69" s="767" t="s">
        <v>1009</v>
      </c>
    </row>
    <row r="70" spans="2:8" ht="15" x14ac:dyDescent="0.2">
      <c r="B70" s="171" t="s">
        <v>368</v>
      </c>
      <c r="C70" s="217" t="s">
        <v>188</v>
      </c>
      <c r="D70" s="566" t="s">
        <v>1008</v>
      </c>
      <c r="E70" s="566" t="s">
        <v>1007</v>
      </c>
      <c r="F70" s="566" t="s">
        <v>1006</v>
      </c>
      <c r="G70" s="767" t="s">
        <v>1007</v>
      </c>
      <c r="H70" s="767" t="s">
        <v>1007</v>
      </c>
    </row>
    <row r="71" spans="2:8" ht="15" x14ac:dyDescent="0.2">
      <c r="B71" s="171" t="s">
        <v>369</v>
      </c>
      <c r="C71" s="217" t="s">
        <v>189</v>
      </c>
      <c r="D71" s="566" t="s">
        <v>1008</v>
      </c>
      <c r="E71" s="566" t="s">
        <v>1007</v>
      </c>
      <c r="F71" s="767" t="s">
        <v>1007</v>
      </c>
      <c r="G71" s="566" t="s">
        <v>1006</v>
      </c>
      <c r="H71" s="767" t="s">
        <v>1007</v>
      </c>
    </row>
    <row r="72" spans="2:8" ht="15" x14ac:dyDescent="0.2">
      <c r="B72" s="173" t="s">
        <v>370</v>
      </c>
      <c r="C72" s="217" t="s">
        <v>184</v>
      </c>
      <c r="D72" s="566" t="s">
        <v>1008</v>
      </c>
      <c r="E72" s="566" t="s">
        <v>1007</v>
      </c>
      <c r="F72" s="767" t="s">
        <v>1007</v>
      </c>
      <c r="G72" s="566" t="s">
        <v>1006</v>
      </c>
      <c r="H72" s="567" t="s">
        <v>1009</v>
      </c>
    </row>
    <row r="73" spans="2:8" ht="15" x14ac:dyDescent="0.2">
      <c r="B73" s="174" t="s">
        <v>371</v>
      </c>
      <c r="C73" s="217" t="s">
        <v>185</v>
      </c>
      <c r="D73" s="566" t="s">
        <v>1008</v>
      </c>
      <c r="E73" s="566" t="s">
        <v>1007</v>
      </c>
      <c r="F73" s="566" t="s">
        <v>1006</v>
      </c>
      <c r="G73" s="767" t="s">
        <v>1007</v>
      </c>
      <c r="H73" s="767" t="s">
        <v>1007</v>
      </c>
    </row>
    <row r="74" spans="2:8" ht="15" x14ac:dyDescent="0.2">
      <c r="B74" s="174" t="s">
        <v>372</v>
      </c>
      <c r="C74" s="217" t="s">
        <v>186</v>
      </c>
      <c r="D74" s="566" t="s">
        <v>1008</v>
      </c>
      <c r="E74" s="566" t="s">
        <v>1007</v>
      </c>
      <c r="F74" s="767" t="s">
        <v>1007</v>
      </c>
      <c r="G74" s="767" t="s">
        <v>1007</v>
      </c>
      <c r="H74" s="566" t="s">
        <v>1006</v>
      </c>
    </row>
    <row r="75" spans="2:8" ht="15" x14ac:dyDescent="0.2">
      <c r="B75" s="228" t="s">
        <v>373</v>
      </c>
      <c r="C75" s="217" t="s">
        <v>182</v>
      </c>
      <c r="D75" s="566" t="s">
        <v>1008</v>
      </c>
      <c r="E75" s="566" t="s">
        <v>1007</v>
      </c>
      <c r="F75" s="767" t="s">
        <v>1007</v>
      </c>
      <c r="G75" s="767" t="s">
        <v>1007</v>
      </c>
      <c r="H75" s="566" t="s">
        <v>1006</v>
      </c>
    </row>
    <row r="76" spans="2:8" ht="15" x14ac:dyDescent="0.2">
      <c r="B76" s="229" t="s">
        <v>374</v>
      </c>
      <c r="C76" s="224" t="s">
        <v>183</v>
      </c>
      <c r="D76" s="566" t="s">
        <v>1008</v>
      </c>
      <c r="E76" s="566" t="s">
        <v>1007</v>
      </c>
      <c r="F76" s="566" t="s">
        <v>1006</v>
      </c>
      <c r="G76" s="767" t="s">
        <v>1007</v>
      </c>
      <c r="H76" s="767" t="s">
        <v>1009</v>
      </c>
    </row>
  </sheetData>
  <autoFilter ref="B5:H76" xr:uid="{7617DF04-A899-4A61-BC05-DF088DB27FF4}"/>
  <mergeCells count="2">
    <mergeCell ref="D4:H4"/>
    <mergeCell ref="J20:K20"/>
  </mergeCells>
  <printOptions horizontalCentered="1" verticalCentered="1"/>
  <pageMargins left="0.27559055118110237" right="0.27559055118110237" top="0.6692913385826772" bottom="0.43307086614173229" header="0.31496062992125984" footer="0.31496062992125984"/>
  <pageSetup paperSize="9" scale="4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5" x14ac:dyDescent="0.25"/>
  <cols>
    <col min="1" max="3" width="2.7109375" style="40" customWidth="1"/>
    <col min="4" max="4" width="55.85546875" bestFit="1" customWidth="1"/>
    <col min="5" max="5" width="30.7109375" customWidth="1"/>
    <col min="6" max="6" width="10.7109375" customWidth="1"/>
    <col min="7" max="7" width="10.42578125" style="1" customWidth="1"/>
    <col min="8" max="8" width="10.42578125" customWidth="1"/>
    <col min="9" max="9" width="2.7109375" customWidth="1"/>
    <col min="10" max="10" width="6.140625" hidden="1" customWidth="1"/>
    <col min="11" max="66" width="2.5703125" customWidth="1"/>
  </cols>
  <sheetData>
    <row r="3" spans="1:66" ht="25.5" customHeight="1" x14ac:dyDescent="0.35">
      <c r="E3" s="36" t="s">
        <v>173</v>
      </c>
      <c r="F3" s="37"/>
      <c r="G3" s="38"/>
      <c r="H3" s="39"/>
    </row>
    <row r="5" spans="1:66" ht="34.5" customHeight="1" thickBot="1" x14ac:dyDescent="0.3">
      <c r="A5" s="40" t="s">
        <v>140</v>
      </c>
      <c r="D5" s="104" t="s">
        <v>170</v>
      </c>
      <c r="E5" s="733" t="s">
        <v>141</v>
      </c>
      <c r="F5" s="734"/>
      <c r="G5" s="735">
        <v>45160</v>
      </c>
      <c r="H5" s="735"/>
    </row>
    <row r="6" spans="1:66" ht="30" customHeight="1" thickTop="1" thickBot="1" x14ac:dyDescent="0.3">
      <c r="A6" s="35" t="s">
        <v>142</v>
      </c>
      <c r="B6" s="35"/>
      <c r="C6" s="35"/>
      <c r="E6" s="733" t="s">
        <v>143</v>
      </c>
      <c r="F6" s="734"/>
      <c r="G6" s="41">
        <v>1</v>
      </c>
      <c r="K6" s="730">
        <f>K7</f>
        <v>45159</v>
      </c>
      <c r="L6" s="731"/>
      <c r="M6" s="731"/>
      <c r="N6" s="731"/>
      <c r="O6" s="731"/>
      <c r="P6" s="731"/>
      <c r="Q6" s="732"/>
      <c r="R6" s="730">
        <f>R7</f>
        <v>45166</v>
      </c>
      <c r="S6" s="731"/>
      <c r="T6" s="731"/>
      <c r="U6" s="731"/>
      <c r="V6" s="731"/>
      <c r="W6" s="731"/>
      <c r="X6" s="732"/>
      <c r="Y6" s="730">
        <f>Y7</f>
        <v>45173</v>
      </c>
      <c r="Z6" s="731"/>
      <c r="AA6" s="731"/>
      <c r="AB6" s="731"/>
      <c r="AC6" s="731"/>
      <c r="AD6" s="731"/>
      <c r="AE6" s="732"/>
      <c r="AF6" s="730">
        <f>AF7</f>
        <v>45180</v>
      </c>
      <c r="AG6" s="731"/>
      <c r="AH6" s="731"/>
      <c r="AI6" s="731"/>
      <c r="AJ6" s="731"/>
      <c r="AK6" s="731"/>
      <c r="AL6" s="732"/>
      <c r="AM6" s="730">
        <f>AM7</f>
        <v>45187</v>
      </c>
      <c r="AN6" s="731"/>
      <c r="AO6" s="731"/>
      <c r="AP6" s="731"/>
      <c r="AQ6" s="731"/>
      <c r="AR6" s="731"/>
      <c r="AS6" s="732"/>
      <c r="AT6" s="730">
        <f>AT7</f>
        <v>45194</v>
      </c>
      <c r="AU6" s="731"/>
      <c r="AV6" s="731"/>
      <c r="AW6" s="731"/>
      <c r="AX6" s="731"/>
      <c r="AY6" s="731"/>
      <c r="AZ6" s="732"/>
      <c r="BA6" s="730">
        <f>BA7</f>
        <v>45201</v>
      </c>
      <c r="BB6" s="731"/>
      <c r="BC6" s="731"/>
      <c r="BD6" s="731"/>
      <c r="BE6" s="731"/>
      <c r="BF6" s="731"/>
      <c r="BG6" s="732"/>
      <c r="BH6" s="730">
        <f>BH7</f>
        <v>45208</v>
      </c>
      <c r="BI6" s="731"/>
      <c r="BJ6" s="731"/>
      <c r="BK6" s="731"/>
      <c r="BL6" s="731"/>
      <c r="BM6" s="731"/>
      <c r="BN6" s="732"/>
    </row>
    <row r="7" spans="1:66" ht="15" customHeight="1" x14ac:dyDescent="0.25">
      <c r="A7" s="35" t="s">
        <v>144</v>
      </c>
      <c r="B7" s="35"/>
      <c r="C7" s="35"/>
      <c r="D7" s="42"/>
      <c r="E7" s="42"/>
      <c r="F7" s="42"/>
      <c r="G7" s="42"/>
      <c r="H7" s="42"/>
      <c r="I7" s="42"/>
      <c r="K7" s="43">
        <f>Início_do_projeto-WEEKDAY(Início_do_projeto,1)+2+7*(Semana_de_exibição-1)</f>
        <v>45159</v>
      </c>
      <c r="L7" s="44">
        <f>K7+1</f>
        <v>45160</v>
      </c>
      <c r="M7" s="44">
        <f t="shared" ref="M7:AZ7" si="0">L7+1</f>
        <v>45161</v>
      </c>
      <c r="N7" s="44">
        <f t="shared" si="0"/>
        <v>45162</v>
      </c>
      <c r="O7" s="44">
        <f t="shared" si="0"/>
        <v>45163</v>
      </c>
      <c r="P7" s="44">
        <f t="shared" si="0"/>
        <v>45164</v>
      </c>
      <c r="Q7" s="45">
        <f t="shared" si="0"/>
        <v>45165</v>
      </c>
      <c r="R7" s="43">
        <f>Q7+1</f>
        <v>45166</v>
      </c>
      <c r="S7" s="44">
        <f>R7+1</f>
        <v>45167</v>
      </c>
      <c r="T7" s="44">
        <f t="shared" si="0"/>
        <v>45168</v>
      </c>
      <c r="U7" s="44">
        <f t="shared" si="0"/>
        <v>45169</v>
      </c>
      <c r="V7" s="44">
        <f t="shared" si="0"/>
        <v>45170</v>
      </c>
      <c r="W7" s="44">
        <f t="shared" si="0"/>
        <v>45171</v>
      </c>
      <c r="X7" s="45">
        <f t="shared" si="0"/>
        <v>45172</v>
      </c>
      <c r="Y7" s="43">
        <f>X7+1</f>
        <v>45173</v>
      </c>
      <c r="Z7" s="44">
        <f>Y7+1</f>
        <v>45174</v>
      </c>
      <c r="AA7" s="44">
        <f t="shared" si="0"/>
        <v>45175</v>
      </c>
      <c r="AB7" s="44">
        <f t="shared" si="0"/>
        <v>45176</v>
      </c>
      <c r="AC7" s="44">
        <f t="shared" si="0"/>
        <v>45177</v>
      </c>
      <c r="AD7" s="44">
        <f t="shared" si="0"/>
        <v>45178</v>
      </c>
      <c r="AE7" s="45">
        <f t="shared" si="0"/>
        <v>45179</v>
      </c>
      <c r="AF7" s="43">
        <f>AE7+1</f>
        <v>45180</v>
      </c>
      <c r="AG7" s="44">
        <f>AF7+1</f>
        <v>45181</v>
      </c>
      <c r="AH7" s="44">
        <f t="shared" si="0"/>
        <v>45182</v>
      </c>
      <c r="AI7" s="44">
        <f t="shared" si="0"/>
        <v>45183</v>
      </c>
      <c r="AJ7" s="44">
        <f t="shared" si="0"/>
        <v>45184</v>
      </c>
      <c r="AK7" s="44">
        <f t="shared" si="0"/>
        <v>45185</v>
      </c>
      <c r="AL7" s="45">
        <f t="shared" si="0"/>
        <v>45186</v>
      </c>
      <c r="AM7" s="43">
        <f>AL7+1</f>
        <v>45187</v>
      </c>
      <c r="AN7" s="44">
        <f>AM7+1</f>
        <v>45188</v>
      </c>
      <c r="AO7" s="44">
        <f t="shared" si="0"/>
        <v>45189</v>
      </c>
      <c r="AP7" s="44">
        <f t="shared" si="0"/>
        <v>45190</v>
      </c>
      <c r="AQ7" s="44">
        <f t="shared" si="0"/>
        <v>45191</v>
      </c>
      <c r="AR7" s="44">
        <f t="shared" si="0"/>
        <v>45192</v>
      </c>
      <c r="AS7" s="45">
        <f t="shared" si="0"/>
        <v>45193</v>
      </c>
      <c r="AT7" s="43">
        <f>AS7+1</f>
        <v>45194</v>
      </c>
      <c r="AU7" s="44">
        <f>AT7+1</f>
        <v>45195</v>
      </c>
      <c r="AV7" s="44">
        <f t="shared" si="0"/>
        <v>45196</v>
      </c>
      <c r="AW7" s="44">
        <f t="shared" si="0"/>
        <v>45197</v>
      </c>
      <c r="AX7" s="44">
        <f t="shared" si="0"/>
        <v>45198</v>
      </c>
      <c r="AY7" s="44">
        <f t="shared" si="0"/>
        <v>45199</v>
      </c>
      <c r="AZ7" s="45">
        <f t="shared" si="0"/>
        <v>45200</v>
      </c>
      <c r="BA7" s="43">
        <f t="shared" ref="BA7:BN7" si="1">AZ7+1</f>
        <v>45201</v>
      </c>
      <c r="BB7" s="44">
        <f t="shared" si="1"/>
        <v>45202</v>
      </c>
      <c r="BC7" s="44">
        <f t="shared" si="1"/>
        <v>45203</v>
      </c>
      <c r="BD7" s="44">
        <f t="shared" si="1"/>
        <v>45204</v>
      </c>
      <c r="BE7" s="44">
        <f t="shared" si="1"/>
        <v>45205</v>
      </c>
      <c r="BF7" s="44">
        <f t="shared" si="1"/>
        <v>45206</v>
      </c>
      <c r="BG7" s="45">
        <f t="shared" si="1"/>
        <v>45207</v>
      </c>
      <c r="BH7" s="43">
        <f t="shared" si="1"/>
        <v>45208</v>
      </c>
      <c r="BI7" s="44">
        <f t="shared" si="1"/>
        <v>45209</v>
      </c>
      <c r="BJ7" s="44">
        <f t="shared" si="1"/>
        <v>45210</v>
      </c>
      <c r="BK7" s="44">
        <f t="shared" si="1"/>
        <v>45211</v>
      </c>
      <c r="BL7" s="44">
        <f t="shared" si="1"/>
        <v>45212</v>
      </c>
      <c r="BM7" s="44">
        <f t="shared" si="1"/>
        <v>45213</v>
      </c>
      <c r="BN7" s="45">
        <f t="shared" si="1"/>
        <v>45214</v>
      </c>
    </row>
    <row r="8" spans="1:66" ht="30" customHeight="1" thickBot="1" x14ac:dyDescent="0.3">
      <c r="A8" s="35" t="s">
        <v>145</v>
      </c>
      <c r="B8" s="35"/>
      <c r="C8" s="35"/>
      <c r="D8" s="46" t="s">
        <v>146</v>
      </c>
      <c r="E8" s="47" t="s">
        <v>147</v>
      </c>
      <c r="F8" s="47" t="s">
        <v>148</v>
      </c>
      <c r="G8" s="47" t="s">
        <v>149</v>
      </c>
      <c r="H8" s="47" t="s">
        <v>150</v>
      </c>
      <c r="I8" s="47"/>
      <c r="J8" s="47" t="s">
        <v>151</v>
      </c>
      <c r="K8" s="48" t="str">
        <f t="shared" ref="K8:BN8" si="2">LEFT(TEXT(K7,"ddd"),1)</f>
        <v>s</v>
      </c>
      <c r="L8" s="48" t="str">
        <f t="shared" si="2"/>
        <v>t</v>
      </c>
      <c r="M8" s="48" t="str">
        <f t="shared" si="2"/>
        <v>q</v>
      </c>
      <c r="N8" s="48" t="str">
        <f t="shared" si="2"/>
        <v>q</v>
      </c>
      <c r="O8" s="48" t="str">
        <f t="shared" si="2"/>
        <v>s</v>
      </c>
      <c r="P8" s="48" t="str">
        <f t="shared" si="2"/>
        <v>s</v>
      </c>
      <c r="Q8" s="48" t="str">
        <f t="shared" si="2"/>
        <v>d</v>
      </c>
      <c r="R8" s="48" t="str">
        <f t="shared" si="2"/>
        <v>s</v>
      </c>
      <c r="S8" s="48" t="str">
        <f t="shared" si="2"/>
        <v>t</v>
      </c>
      <c r="T8" s="48" t="str">
        <f t="shared" si="2"/>
        <v>q</v>
      </c>
      <c r="U8" s="48" t="str">
        <f t="shared" si="2"/>
        <v>q</v>
      </c>
      <c r="V8" s="48" t="str">
        <f t="shared" si="2"/>
        <v>s</v>
      </c>
      <c r="W8" s="48" t="str">
        <f t="shared" si="2"/>
        <v>s</v>
      </c>
      <c r="X8" s="48" t="str">
        <f t="shared" si="2"/>
        <v>d</v>
      </c>
      <c r="Y8" s="48" t="str">
        <f t="shared" si="2"/>
        <v>s</v>
      </c>
      <c r="Z8" s="48" t="str">
        <f t="shared" si="2"/>
        <v>t</v>
      </c>
      <c r="AA8" s="48" t="str">
        <f t="shared" si="2"/>
        <v>q</v>
      </c>
      <c r="AB8" s="48" t="str">
        <f t="shared" si="2"/>
        <v>q</v>
      </c>
      <c r="AC8" s="48" t="str">
        <f t="shared" si="2"/>
        <v>s</v>
      </c>
      <c r="AD8" s="48" t="str">
        <f t="shared" si="2"/>
        <v>s</v>
      </c>
      <c r="AE8" s="48" t="str">
        <f t="shared" si="2"/>
        <v>d</v>
      </c>
      <c r="AF8" s="48" t="str">
        <f t="shared" si="2"/>
        <v>s</v>
      </c>
      <c r="AG8" s="48" t="str">
        <f t="shared" si="2"/>
        <v>t</v>
      </c>
      <c r="AH8" s="48" t="str">
        <f t="shared" si="2"/>
        <v>q</v>
      </c>
      <c r="AI8" s="48" t="str">
        <f t="shared" si="2"/>
        <v>q</v>
      </c>
      <c r="AJ8" s="48" t="str">
        <f t="shared" si="2"/>
        <v>s</v>
      </c>
      <c r="AK8" s="48" t="str">
        <f t="shared" si="2"/>
        <v>s</v>
      </c>
      <c r="AL8" s="48" t="str">
        <f t="shared" si="2"/>
        <v>d</v>
      </c>
      <c r="AM8" s="48" t="str">
        <f t="shared" si="2"/>
        <v>s</v>
      </c>
      <c r="AN8" s="48" t="str">
        <f t="shared" si="2"/>
        <v>t</v>
      </c>
      <c r="AO8" s="48" t="str">
        <f t="shared" si="2"/>
        <v>q</v>
      </c>
      <c r="AP8" s="48" t="str">
        <f t="shared" si="2"/>
        <v>q</v>
      </c>
      <c r="AQ8" s="48" t="str">
        <f t="shared" si="2"/>
        <v>s</v>
      </c>
      <c r="AR8" s="48" t="str">
        <f t="shared" si="2"/>
        <v>s</v>
      </c>
      <c r="AS8" s="48" t="str">
        <f t="shared" si="2"/>
        <v>d</v>
      </c>
      <c r="AT8" s="48" t="str">
        <f t="shared" si="2"/>
        <v>s</v>
      </c>
      <c r="AU8" s="48" t="str">
        <f t="shared" si="2"/>
        <v>t</v>
      </c>
      <c r="AV8" s="48" t="str">
        <f t="shared" si="2"/>
        <v>q</v>
      </c>
      <c r="AW8" s="48" t="str">
        <f t="shared" si="2"/>
        <v>q</v>
      </c>
      <c r="AX8" s="48" t="str">
        <f t="shared" si="2"/>
        <v>s</v>
      </c>
      <c r="AY8" s="48" t="str">
        <f t="shared" si="2"/>
        <v>s</v>
      </c>
      <c r="AZ8" s="48" t="str">
        <f t="shared" si="2"/>
        <v>d</v>
      </c>
      <c r="BA8" s="48" t="str">
        <f t="shared" si="2"/>
        <v>s</v>
      </c>
      <c r="BB8" s="48" t="str">
        <f t="shared" si="2"/>
        <v>t</v>
      </c>
      <c r="BC8" s="48" t="str">
        <f t="shared" si="2"/>
        <v>q</v>
      </c>
      <c r="BD8" s="48" t="str">
        <f t="shared" si="2"/>
        <v>q</v>
      </c>
      <c r="BE8" s="48" t="str">
        <f t="shared" si="2"/>
        <v>s</v>
      </c>
      <c r="BF8" s="48" t="str">
        <f t="shared" si="2"/>
        <v>s</v>
      </c>
      <c r="BG8" s="48" t="str">
        <f t="shared" si="2"/>
        <v>d</v>
      </c>
      <c r="BH8" s="48" t="str">
        <f t="shared" si="2"/>
        <v>s</v>
      </c>
      <c r="BI8" s="48" t="str">
        <f t="shared" si="2"/>
        <v>t</v>
      </c>
      <c r="BJ8" s="48" t="str">
        <f t="shared" si="2"/>
        <v>q</v>
      </c>
      <c r="BK8" s="48" t="str">
        <f t="shared" si="2"/>
        <v>q</v>
      </c>
      <c r="BL8" s="48" t="str">
        <f t="shared" si="2"/>
        <v>s</v>
      </c>
      <c r="BM8" s="48" t="str">
        <f t="shared" si="2"/>
        <v>s</v>
      </c>
      <c r="BN8" s="48" t="str">
        <f t="shared" si="2"/>
        <v>d</v>
      </c>
    </row>
    <row r="9" spans="1:66" ht="30" hidden="1" customHeight="1" x14ac:dyDescent="0.25">
      <c r="A9" s="40" t="s">
        <v>152</v>
      </c>
      <c r="E9" s="49"/>
      <c r="G9"/>
      <c r="J9">
        <f>IF(OR(ISBLANK(início_da_tarefa),ISBLANK(término_da_tarefa)),"",término_da_tarefa-início_da_tarefa+1)</f>
        <v>4</v>
      </c>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row>
    <row r="10" spans="1:66" s="14" customFormat="1" ht="30" customHeight="1" thickBot="1" x14ac:dyDescent="0.3">
      <c r="A10" s="35" t="s">
        <v>153</v>
      </c>
      <c r="B10" s="35"/>
      <c r="C10" s="35"/>
      <c r="D10" s="51" t="s">
        <v>55</v>
      </c>
      <c r="E10" s="52"/>
      <c r="F10" s="53"/>
      <c r="G10" s="54"/>
      <c r="H10" s="55"/>
      <c r="I10" s="56"/>
      <c r="J10" s="56">
        <f t="shared" ref="J10:J35" si="3">IF(OR(ISBLANK(início_da_tarefa),ISBLANK(término_da_tarefa)),"",término_da_tarefa-início_da_tarefa+1)</f>
        <v>3</v>
      </c>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row>
    <row r="11" spans="1:66" s="14" customFormat="1" ht="30" customHeight="1" thickBot="1" x14ac:dyDescent="0.3">
      <c r="A11" s="35" t="s">
        <v>154</v>
      </c>
      <c r="B11" s="35"/>
      <c r="C11" s="35"/>
      <c r="D11" s="57" t="s">
        <v>53</v>
      </c>
      <c r="E11" s="58"/>
      <c r="F11" s="59"/>
      <c r="G11" s="60">
        <f>Início_do_projeto</f>
        <v>45160</v>
      </c>
      <c r="H11" s="60">
        <f>G11+3</f>
        <v>45163</v>
      </c>
      <c r="I11" s="56"/>
      <c r="J11" s="56">
        <f t="shared" si="3"/>
        <v>5</v>
      </c>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row>
    <row r="12" spans="1:66" s="14" customFormat="1" ht="30" customHeight="1" thickBot="1" x14ac:dyDescent="0.3">
      <c r="A12" s="35" t="s">
        <v>156</v>
      </c>
      <c r="B12" s="35"/>
      <c r="C12" s="35"/>
      <c r="D12" s="57" t="s">
        <v>157</v>
      </c>
      <c r="E12" s="58"/>
      <c r="F12" s="59"/>
      <c r="G12" s="60"/>
      <c r="H12" s="60"/>
      <c r="I12" s="56"/>
      <c r="J12" s="56">
        <f t="shared" si="3"/>
        <v>6</v>
      </c>
      <c r="K12" s="50"/>
      <c r="L12" s="50"/>
      <c r="M12" s="50"/>
      <c r="N12" s="50"/>
      <c r="O12" s="50"/>
      <c r="P12" s="50"/>
      <c r="Q12" s="50"/>
      <c r="R12" s="50"/>
      <c r="S12" s="50"/>
      <c r="T12" s="50"/>
      <c r="U12" s="50"/>
      <c r="V12" s="50"/>
      <c r="W12" s="61"/>
      <c r="X12" s="61"/>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row>
    <row r="13" spans="1:66" s="14" customFormat="1" ht="30" customHeight="1" thickBot="1" x14ac:dyDescent="0.3">
      <c r="A13" s="40"/>
      <c r="B13" s="40"/>
      <c r="C13" s="40"/>
      <c r="D13" s="57" t="s">
        <v>158</v>
      </c>
      <c r="E13" s="58"/>
      <c r="F13" s="59"/>
      <c r="G13" s="60"/>
      <c r="H13" s="60"/>
      <c r="I13" s="56"/>
      <c r="J13" s="56">
        <f t="shared" si="3"/>
        <v>3</v>
      </c>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row>
    <row r="14" spans="1:66" s="14" customFormat="1" ht="30" customHeight="1" thickBot="1" x14ac:dyDescent="0.3">
      <c r="A14" s="40"/>
      <c r="B14" s="40"/>
      <c r="C14" s="40"/>
      <c r="D14" s="57" t="s">
        <v>159</v>
      </c>
      <c r="E14" s="58"/>
      <c r="F14" s="59"/>
      <c r="G14" s="60"/>
      <c r="H14" s="60"/>
      <c r="I14" s="56"/>
      <c r="J14" s="56" t="str">
        <f t="shared" si="3"/>
        <v/>
      </c>
      <c r="K14" s="50"/>
      <c r="L14" s="50"/>
      <c r="M14" s="50"/>
      <c r="N14" s="50"/>
      <c r="O14" s="50"/>
      <c r="P14" s="50"/>
      <c r="Q14" s="50"/>
      <c r="R14" s="50"/>
      <c r="S14" s="50"/>
      <c r="T14" s="50"/>
      <c r="U14" s="50"/>
      <c r="V14" s="50"/>
      <c r="W14" s="50"/>
      <c r="X14" s="50"/>
      <c r="Y14" s="50"/>
      <c r="Z14" s="50"/>
      <c r="AA14" s="61"/>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row>
    <row r="15" spans="1:66" s="14" customFormat="1" ht="30" customHeight="1" thickBot="1" x14ac:dyDescent="0.3">
      <c r="A15" s="40"/>
      <c r="B15" s="40"/>
      <c r="C15" s="40"/>
      <c r="D15" s="57" t="s">
        <v>160</v>
      </c>
      <c r="E15" s="58"/>
      <c r="F15" s="59"/>
      <c r="G15" s="60"/>
      <c r="H15" s="60"/>
      <c r="I15" s="56"/>
      <c r="J15" s="56">
        <f t="shared" si="3"/>
        <v>5</v>
      </c>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row>
    <row r="16" spans="1:66" s="14" customFormat="1" ht="30" customHeight="1" thickBot="1" x14ac:dyDescent="0.3">
      <c r="A16" s="35" t="s">
        <v>161</v>
      </c>
      <c r="B16" s="35"/>
      <c r="C16" s="35"/>
      <c r="D16" s="62" t="s">
        <v>162</v>
      </c>
      <c r="E16" s="63"/>
      <c r="F16" s="64"/>
      <c r="G16" s="65"/>
      <c r="H16" s="66"/>
      <c r="I16" s="56"/>
      <c r="J16" s="56">
        <f t="shared" si="3"/>
        <v>6</v>
      </c>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row>
    <row r="17" spans="1:66" s="14" customFormat="1" ht="30" customHeight="1" thickBot="1" x14ac:dyDescent="0.3">
      <c r="A17" s="35"/>
      <c r="B17" s="35"/>
      <c r="C17" s="35"/>
      <c r="D17" s="67" t="s">
        <v>155</v>
      </c>
      <c r="E17" s="68"/>
      <c r="F17" s="69"/>
      <c r="G17" s="70"/>
      <c r="H17" s="70"/>
      <c r="I17" s="56"/>
      <c r="J17" s="56">
        <f t="shared" si="3"/>
        <v>4</v>
      </c>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row>
    <row r="18" spans="1:66" s="14" customFormat="1" ht="30" customHeight="1" thickBot="1" x14ac:dyDescent="0.3">
      <c r="A18" s="40"/>
      <c r="B18" s="40"/>
      <c r="C18" s="40"/>
      <c r="D18" s="67" t="s">
        <v>157</v>
      </c>
      <c r="E18" s="68"/>
      <c r="F18" s="69"/>
      <c r="G18" s="70"/>
      <c r="H18" s="70"/>
      <c r="I18" s="56"/>
      <c r="J18" s="56">
        <f t="shared" si="3"/>
        <v>3</v>
      </c>
      <c r="K18" s="50"/>
      <c r="L18" s="50"/>
      <c r="M18" s="50"/>
      <c r="N18" s="50"/>
      <c r="O18" s="50"/>
      <c r="P18" s="50"/>
      <c r="Q18" s="50"/>
      <c r="R18" s="50"/>
      <c r="S18" s="50"/>
      <c r="T18" s="50"/>
      <c r="U18" s="50"/>
      <c r="V18" s="50"/>
      <c r="W18" s="61"/>
      <c r="X18" s="61"/>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row>
    <row r="19" spans="1:66" s="14" customFormat="1" ht="30" customHeight="1" thickBot="1" x14ac:dyDescent="0.3">
      <c r="A19" s="40"/>
      <c r="B19" s="40"/>
      <c r="C19" s="40"/>
      <c r="D19" s="67" t="s">
        <v>158</v>
      </c>
      <c r="E19" s="68"/>
      <c r="F19" s="69"/>
      <c r="G19" s="70"/>
      <c r="H19" s="70"/>
      <c r="I19" s="56"/>
      <c r="J19" s="56">
        <f t="shared" si="3"/>
        <v>4</v>
      </c>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row>
    <row r="20" spans="1:66" s="14" customFormat="1" ht="30" customHeight="1" thickBot="1" x14ac:dyDescent="0.3">
      <c r="A20" s="40"/>
      <c r="B20" s="40"/>
      <c r="C20" s="40"/>
      <c r="D20" s="67" t="s">
        <v>159</v>
      </c>
      <c r="E20" s="68"/>
      <c r="F20" s="69"/>
      <c r="G20" s="70"/>
      <c r="H20" s="70"/>
      <c r="I20" s="56"/>
      <c r="J20" s="56" t="str">
        <f t="shared" si="3"/>
        <v/>
      </c>
      <c r="K20" s="50"/>
      <c r="L20" s="50"/>
      <c r="M20" s="50"/>
      <c r="N20" s="50"/>
      <c r="O20" s="50"/>
      <c r="P20" s="50"/>
      <c r="Q20" s="50"/>
      <c r="R20" s="50"/>
      <c r="S20" s="50"/>
      <c r="T20" s="50"/>
      <c r="U20" s="50"/>
      <c r="V20" s="50"/>
      <c r="W20" s="50"/>
      <c r="X20" s="50"/>
      <c r="Y20" s="50"/>
      <c r="Z20" s="50"/>
      <c r="AA20" s="61"/>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row>
    <row r="21" spans="1:66" s="14" customFormat="1" ht="30" customHeight="1" thickBot="1" x14ac:dyDescent="0.3">
      <c r="A21" s="40"/>
      <c r="B21" s="40"/>
      <c r="C21" s="40"/>
      <c r="D21" s="67" t="s">
        <v>160</v>
      </c>
      <c r="E21" s="68"/>
      <c r="F21" s="69"/>
      <c r="G21" s="70"/>
      <c r="H21" s="70"/>
      <c r="I21" s="56"/>
      <c r="J21" s="56">
        <f t="shared" si="3"/>
        <v>6</v>
      </c>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row>
    <row r="22" spans="1:66" s="14" customFormat="1" ht="30" customHeight="1" thickBot="1" x14ac:dyDescent="0.3">
      <c r="A22" s="40" t="s">
        <v>163</v>
      </c>
      <c r="B22" s="40"/>
      <c r="C22" s="40"/>
      <c r="D22" s="71" t="s">
        <v>164</v>
      </c>
      <c r="E22" s="72"/>
      <c r="F22" s="73"/>
      <c r="G22" s="74"/>
      <c r="H22" s="75"/>
      <c r="I22" s="56"/>
      <c r="J22" s="56">
        <f t="shared" si="3"/>
        <v>5</v>
      </c>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row>
    <row r="23" spans="1:66" s="14" customFormat="1" ht="30" customHeight="1" thickBot="1" x14ac:dyDescent="0.3">
      <c r="A23" s="40"/>
      <c r="B23" s="40"/>
      <c r="C23" s="40"/>
      <c r="D23" s="76" t="s">
        <v>155</v>
      </c>
      <c r="E23" s="77"/>
      <c r="F23" s="78"/>
      <c r="G23" s="79"/>
      <c r="H23" s="79"/>
      <c r="I23" s="56"/>
      <c r="J23" s="56">
        <f t="shared" si="3"/>
        <v>6</v>
      </c>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row>
    <row r="24" spans="1:66" s="14" customFormat="1" ht="30" customHeight="1" thickBot="1" x14ac:dyDescent="0.3">
      <c r="A24" s="40"/>
      <c r="B24" s="40"/>
      <c r="C24" s="40"/>
      <c r="D24" s="76" t="s">
        <v>157</v>
      </c>
      <c r="E24" s="77"/>
      <c r="F24" s="78"/>
      <c r="G24" s="79"/>
      <c r="H24" s="79"/>
      <c r="I24" s="56"/>
      <c r="J24" s="56">
        <f t="shared" si="3"/>
        <v>5</v>
      </c>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row>
    <row r="25" spans="1:66" s="14" customFormat="1" ht="30" customHeight="1" thickBot="1" x14ac:dyDescent="0.3">
      <c r="A25" s="40"/>
      <c r="B25" s="40"/>
      <c r="C25" s="40"/>
      <c r="D25" s="76" t="s">
        <v>158</v>
      </c>
      <c r="E25" s="77"/>
      <c r="F25" s="78"/>
      <c r="G25" s="79"/>
      <c r="H25" s="79"/>
      <c r="I25" s="56"/>
      <c r="J25" s="56">
        <f t="shared" si="3"/>
        <v>5</v>
      </c>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row>
    <row r="26" spans="1:66" s="14" customFormat="1" ht="30" customHeight="1" thickBot="1" x14ac:dyDescent="0.3">
      <c r="A26" s="40"/>
      <c r="B26" s="40"/>
      <c r="C26" s="40"/>
      <c r="D26" s="76" t="s">
        <v>159</v>
      </c>
      <c r="E26" s="77"/>
      <c r="F26" s="78"/>
      <c r="G26" s="79"/>
      <c r="H26" s="79"/>
      <c r="I26" s="56"/>
      <c r="J26" s="56" t="str">
        <f t="shared" si="3"/>
        <v/>
      </c>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row>
    <row r="27" spans="1:66" s="14" customFormat="1" ht="30" customHeight="1" thickBot="1" x14ac:dyDescent="0.3">
      <c r="A27" s="40"/>
      <c r="B27" s="40"/>
      <c r="C27" s="40"/>
      <c r="D27" s="76" t="s">
        <v>160</v>
      </c>
      <c r="E27" s="77"/>
      <c r="F27" s="78"/>
      <c r="G27" s="79"/>
      <c r="H27" s="79"/>
      <c r="I27" s="56"/>
      <c r="J27" s="56" t="e">
        <f t="shared" si="3"/>
        <v>#VALUE!</v>
      </c>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row>
    <row r="28" spans="1:66" s="14" customFormat="1" ht="30" customHeight="1" thickBot="1" x14ac:dyDescent="0.3">
      <c r="A28" s="40" t="s">
        <v>163</v>
      </c>
      <c r="B28" s="40"/>
      <c r="C28" s="40"/>
      <c r="D28" s="80" t="s">
        <v>165</v>
      </c>
      <c r="E28" s="81"/>
      <c r="F28" s="82"/>
      <c r="G28" s="83"/>
      <c r="H28" s="84"/>
      <c r="I28" s="56"/>
      <c r="J28" s="56" t="e">
        <f t="shared" si="3"/>
        <v>#VALUE!</v>
      </c>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row>
    <row r="29" spans="1:66" s="14" customFormat="1" ht="30" customHeight="1" thickBot="1" x14ac:dyDescent="0.3">
      <c r="A29" s="40"/>
      <c r="B29" s="40"/>
      <c r="C29" s="40"/>
      <c r="D29" s="85" t="s">
        <v>155</v>
      </c>
      <c r="E29" s="86"/>
      <c r="F29" s="87"/>
      <c r="G29" s="88" t="s">
        <v>166</v>
      </c>
      <c r="H29" s="88" t="s">
        <v>166</v>
      </c>
      <c r="I29" s="56"/>
      <c r="J29" s="56" t="e">
        <f t="shared" si="3"/>
        <v>#VALUE!</v>
      </c>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row>
    <row r="30" spans="1:66" s="14" customFormat="1" ht="30" customHeight="1" thickBot="1" x14ac:dyDescent="0.3">
      <c r="A30" s="40"/>
      <c r="B30" s="40"/>
      <c r="C30" s="40"/>
      <c r="D30" s="85" t="s">
        <v>157</v>
      </c>
      <c r="E30" s="86"/>
      <c r="F30" s="87"/>
      <c r="G30" s="88" t="s">
        <v>166</v>
      </c>
      <c r="H30" s="88" t="s">
        <v>166</v>
      </c>
      <c r="I30" s="56"/>
      <c r="J30" s="56" t="e">
        <f t="shared" si="3"/>
        <v>#VALUE!</v>
      </c>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row>
    <row r="31" spans="1:66" s="14" customFormat="1" ht="30" customHeight="1" thickBot="1" x14ac:dyDescent="0.3">
      <c r="A31" s="40"/>
      <c r="B31" s="40"/>
      <c r="C31" s="40"/>
      <c r="D31" s="85" t="s">
        <v>158</v>
      </c>
      <c r="E31" s="86"/>
      <c r="F31" s="87"/>
      <c r="G31" s="88" t="s">
        <v>166</v>
      </c>
      <c r="H31" s="88" t="s">
        <v>166</v>
      </c>
      <c r="I31" s="56"/>
      <c r="J31" s="56" t="e">
        <f t="shared" si="3"/>
        <v>#VALUE!</v>
      </c>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row>
    <row r="32" spans="1:66" s="14" customFormat="1" ht="30" customHeight="1" thickBot="1" x14ac:dyDescent="0.3">
      <c r="A32" s="40"/>
      <c r="B32" s="40"/>
      <c r="C32" s="40"/>
      <c r="D32" s="85" t="s">
        <v>159</v>
      </c>
      <c r="E32" s="86"/>
      <c r="F32" s="87"/>
      <c r="G32" s="88" t="s">
        <v>166</v>
      </c>
      <c r="H32" s="88" t="s">
        <v>166</v>
      </c>
      <c r="I32" s="56"/>
      <c r="J32" s="56" t="str">
        <f t="shared" si="3"/>
        <v/>
      </c>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row>
    <row r="33" spans="1:66" s="14" customFormat="1" ht="30" customHeight="1" thickBot="1" x14ac:dyDescent="0.3">
      <c r="A33" s="40"/>
      <c r="B33" s="40"/>
      <c r="C33" s="40"/>
      <c r="D33" s="85" t="s">
        <v>160</v>
      </c>
      <c r="E33" s="86"/>
      <c r="F33" s="87"/>
      <c r="G33" s="88" t="s">
        <v>166</v>
      </c>
      <c r="H33" s="88" t="s">
        <v>166</v>
      </c>
      <c r="I33" s="56"/>
      <c r="J33" s="56" t="str">
        <f t="shared" si="3"/>
        <v/>
      </c>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row>
    <row r="34" spans="1:66" s="14" customFormat="1" ht="30" customHeight="1" thickBot="1" x14ac:dyDescent="0.3">
      <c r="A34" s="40" t="s">
        <v>167</v>
      </c>
      <c r="B34" s="40"/>
      <c r="C34" s="40"/>
      <c r="D34" s="89"/>
      <c r="E34" s="90"/>
      <c r="F34" s="91"/>
      <c r="G34" s="92"/>
      <c r="H34" s="92"/>
      <c r="I34" s="56"/>
      <c r="J34" s="56" t="str">
        <f t="shared" si="3"/>
        <v/>
      </c>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row>
    <row r="35" spans="1:66" s="14" customFormat="1" ht="30" customHeight="1" thickBot="1" x14ac:dyDescent="0.3">
      <c r="A35" s="35" t="s">
        <v>168</v>
      </c>
      <c r="B35" s="35"/>
      <c r="C35" s="35"/>
      <c r="D35" s="93" t="s">
        <v>169</v>
      </c>
      <c r="E35" s="94"/>
      <c r="F35" s="95"/>
      <c r="G35" s="96"/>
      <c r="H35" s="97"/>
      <c r="I35" s="98"/>
      <c r="J35" s="98" t="str">
        <f t="shared" si="3"/>
        <v/>
      </c>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row>
    <row r="36" spans="1:66" ht="30" customHeight="1" x14ac:dyDescent="0.25">
      <c r="I36" s="100"/>
    </row>
    <row r="37" spans="1:66" ht="30" customHeight="1" x14ac:dyDescent="0.25">
      <c r="E37" s="101"/>
      <c r="H37" s="102"/>
    </row>
    <row r="38" spans="1:66" ht="30" customHeight="1" x14ac:dyDescent="0.25">
      <c r="E38" s="103"/>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2.75" x14ac:dyDescent="0.2"/>
  <cols>
    <col min="1" max="1" width="14" bestFit="1" customWidth="1"/>
    <col min="2" max="2" width="25.5703125" customWidth="1"/>
    <col min="3" max="3" width="55" customWidth="1"/>
    <col min="4" max="4" width="6.140625" bestFit="1" customWidth="1"/>
    <col min="5" max="5" width="7" bestFit="1" customWidth="1"/>
    <col min="6" max="49" width="105.42578125" bestFit="1" customWidth="1"/>
    <col min="50" max="50" width="10" bestFit="1" customWidth="1"/>
  </cols>
  <sheetData>
    <row r="3" spans="1:5" x14ac:dyDescent="0.2">
      <c r="A3" s="29" t="s">
        <v>137</v>
      </c>
      <c r="B3" s="28"/>
      <c r="C3" s="28"/>
      <c r="D3" s="28"/>
      <c r="E3" s="31"/>
    </row>
    <row r="4" spans="1:5" x14ac:dyDescent="0.2">
      <c r="A4" s="29" t="s">
        <v>2</v>
      </c>
      <c r="B4" s="29" t="s">
        <v>4</v>
      </c>
      <c r="C4" s="29" t="s">
        <v>51</v>
      </c>
      <c r="D4" s="29" t="s">
        <v>0</v>
      </c>
      <c r="E4" s="31" t="s">
        <v>134</v>
      </c>
    </row>
    <row r="5" spans="1:5" x14ac:dyDescent="0.2">
      <c r="A5" s="27" t="s">
        <v>11</v>
      </c>
      <c r="B5" s="27" t="s">
        <v>56</v>
      </c>
      <c r="C5" s="27" t="s">
        <v>53</v>
      </c>
      <c r="D5" s="27" t="s">
        <v>11</v>
      </c>
      <c r="E5" s="31">
        <v>1000</v>
      </c>
    </row>
    <row r="6" spans="1:5" x14ac:dyDescent="0.2">
      <c r="A6" s="33"/>
      <c r="B6" s="33"/>
      <c r="C6" s="27" t="s">
        <v>52</v>
      </c>
      <c r="D6" s="27" t="s">
        <v>15</v>
      </c>
      <c r="E6" s="31">
        <v>1000</v>
      </c>
    </row>
    <row r="7" spans="1:5" x14ac:dyDescent="0.2">
      <c r="A7" s="33"/>
      <c r="B7" s="33"/>
      <c r="C7" s="27" t="s">
        <v>54</v>
      </c>
      <c r="D7" s="27" t="s">
        <v>14</v>
      </c>
      <c r="E7" s="31">
        <v>2000</v>
      </c>
    </row>
    <row r="8" spans="1:5" x14ac:dyDescent="0.2">
      <c r="A8" s="27" t="s">
        <v>15</v>
      </c>
      <c r="B8" s="27" t="s">
        <v>67</v>
      </c>
      <c r="C8" s="27" t="s">
        <v>132</v>
      </c>
      <c r="D8" s="27" t="s">
        <v>16</v>
      </c>
      <c r="E8" s="31">
        <v>2000</v>
      </c>
    </row>
    <row r="9" spans="1:5" x14ac:dyDescent="0.2">
      <c r="A9" s="33"/>
      <c r="B9" s="27" t="s">
        <v>56</v>
      </c>
      <c r="C9" s="27" t="s">
        <v>129</v>
      </c>
      <c r="D9" s="27" t="s">
        <v>8</v>
      </c>
      <c r="E9" s="31">
        <v>700</v>
      </c>
    </row>
    <row r="10" spans="1:5" x14ac:dyDescent="0.2">
      <c r="A10" s="33"/>
      <c r="B10" s="27" t="s">
        <v>135</v>
      </c>
      <c r="C10" s="27" t="s">
        <v>57</v>
      </c>
      <c r="D10" s="27">
        <v>2</v>
      </c>
      <c r="E10" s="31"/>
    </row>
    <row r="11" spans="1:5" x14ac:dyDescent="0.2">
      <c r="A11" s="27" t="s">
        <v>118</v>
      </c>
      <c r="B11" s="27" t="s">
        <v>127</v>
      </c>
      <c r="C11" s="27" t="s">
        <v>116</v>
      </c>
      <c r="D11" s="27" t="s">
        <v>118</v>
      </c>
      <c r="E11" s="31">
        <v>4000</v>
      </c>
    </row>
    <row r="12" spans="1:5" x14ac:dyDescent="0.2">
      <c r="A12" s="27" t="s">
        <v>119</v>
      </c>
      <c r="B12" s="27" t="s">
        <v>126</v>
      </c>
      <c r="C12" s="27" t="s">
        <v>117</v>
      </c>
      <c r="D12" s="27" t="s">
        <v>119</v>
      </c>
      <c r="E12" s="31">
        <v>1000</v>
      </c>
    </row>
    <row r="13" spans="1:5" x14ac:dyDescent="0.2">
      <c r="A13" s="27" t="s">
        <v>120</v>
      </c>
      <c r="B13" s="27" t="s">
        <v>126</v>
      </c>
      <c r="C13" s="27" t="s">
        <v>121</v>
      </c>
      <c r="D13" s="27" t="s">
        <v>120</v>
      </c>
      <c r="E13" s="31">
        <v>1000</v>
      </c>
    </row>
    <row r="14" spans="1:5" x14ac:dyDescent="0.2">
      <c r="A14" s="27" t="s">
        <v>7</v>
      </c>
      <c r="B14" s="27" t="s">
        <v>56</v>
      </c>
      <c r="C14" s="27" t="s">
        <v>58</v>
      </c>
      <c r="D14" s="27" t="s">
        <v>7</v>
      </c>
      <c r="E14" s="31">
        <v>2000</v>
      </c>
    </row>
    <row r="15" spans="1:5" x14ac:dyDescent="0.2">
      <c r="A15" s="27" t="s">
        <v>8</v>
      </c>
      <c r="B15" s="27" t="s">
        <v>56</v>
      </c>
      <c r="C15" s="27" t="s">
        <v>63</v>
      </c>
      <c r="D15" s="27" t="s">
        <v>9</v>
      </c>
      <c r="E15" s="31">
        <v>400</v>
      </c>
    </row>
    <row r="16" spans="1:5" x14ac:dyDescent="0.2">
      <c r="A16" s="33"/>
      <c r="B16" s="33"/>
      <c r="C16" s="27" t="s">
        <v>59</v>
      </c>
      <c r="D16" s="27" t="s">
        <v>43</v>
      </c>
      <c r="E16" s="31">
        <v>500</v>
      </c>
    </row>
    <row r="17" spans="1:5" x14ac:dyDescent="0.2">
      <c r="A17" s="33"/>
      <c r="B17" s="33"/>
      <c r="C17" s="27" t="s">
        <v>62</v>
      </c>
      <c r="D17" s="27" t="s">
        <v>66</v>
      </c>
      <c r="E17" s="31">
        <v>200</v>
      </c>
    </row>
    <row r="18" spans="1:5" x14ac:dyDescent="0.2">
      <c r="A18" s="33"/>
      <c r="B18" s="33"/>
      <c r="C18" s="27" t="s">
        <v>61</v>
      </c>
      <c r="D18" s="27" t="s">
        <v>65</v>
      </c>
      <c r="E18" s="31">
        <v>800</v>
      </c>
    </row>
    <row r="19" spans="1:5" x14ac:dyDescent="0.2">
      <c r="A19" s="33"/>
      <c r="B19" s="33"/>
      <c r="C19" s="27" t="s">
        <v>60</v>
      </c>
      <c r="D19" s="27" t="s">
        <v>44</v>
      </c>
      <c r="E19" s="31">
        <v>1000</v>
      </c>
    </row>
    <row r="20" spans="1:5" x14ac:dyDescent="0.2">
      <c r="A20" s="27" t="s">
        <v>9</v>
      </c>
      <c r="B20" s="27" t="s">
        <v>135</v>
      </c>
      <c r="C20" s="27" t="s">
        <v>64</v>
      </c>
      <c r="D20" s="27">
        <v>3</v>
      </c>
      <c r="E20" s="31"/>
    </row>
    <row r="21" spans="1:5" x14ac:dyDescent="0.2">
      <c r="A21" s="27" t="s">
        <v>16</v>
      </c>
      <c r="B21" s="27" t="s">
        <v>67</v>
      </c>
      <c r="C21" s="27" t="s">
        <v>69</v>
      </c>
      <c r="D21" s="27" t="s">
        <v>130</v>
      </c>
      <c r="E21" s="31">
        <v>500</v>
      </c>
    </row>
    <row r="22" spans="1:5" x14ac:dyDescent="0.2">
      <c r="A22" s="27" t="s">
        <v>130</v>
      </c>
      <c r="B22" s="27" t="s">
        <v>67</v>
      </c>
      <c r="C22" s="27" t="s">
        <v>70</v>
      </c>
      <c r="D22" s="27" t="s">
        <v>71</v>
      </c>
      <c r="E22" s="31">
        <v>500</v>
      </c>
    </row>
    <row r="23" spans="1:5" x14ac:dyDescent="0.2">
      <c r="A23" s="27" t="s">
        <v>71</v>
      </c>
      <c r="B23" s="27" t="s">
        <v>67</v>
      </c>
      <c r="C23" s="27" t="s">
        <v>133</v>
      </c>
      <c r="D23" s="27" t="s">
        <v>17</v>
      </c>
      <c r="E23" s="31">
        <v>1000</v>
      </c>
    </row>
    <row r="24" spans="1:5" x14ac:dyDescent="0.2">
      <c r="A24" s="27" t="s">
        <v>17</v>
      </c>
      <c r="B24" s="27" t="s">
        <v>67</v>
      </c>
      <c r="C24" s="27" t="s">
        <v>68</v>
      </c>
      <c r="D24" s="27" t="s">
        <v>131</v>
      </c>
      <c r="E24" s="31">
        <v>500</v>
      </c>
    </row>
    <row r="25" spans="1:5" x14ac:dyDescent="0.2">
      <c r="A25" s="27" t="s">
        <v>131</v>
      </c>
      <c r="B25" s="27" t="s">
        <v>135</v>
      </c>
      <c r="C25" s="27" t="s">
        <v>72</v>
      </c>
      <c r="D25" s="27">
        <v>4</v>
      </c>
      <c r="E25" s="31"/>
    </row>
    <row r="26" spans="1:5" x14ac:dyDescent="0.2">
      <c r="A26" s="27" t="s">
        <v>139</v>
      </c>
      <c r="B26" s="27" t="s">
        <v>67</v>
      </c>
      <c r="C26" s="27" t="s">
        <v>138</v>
      </c>
      <c r="D26" s="27" t="s">
        <v>139</v>
      </c>
      <c r="E26" s="31">
        <v>700</v>
      </c>
    </row>
    <row r="27" spans="1:5" x14ac:dyDescent="0.2">
      <c r="A27" s="27" t="s">
        <v>10</v>
      </c>
      <c r="B27" s="27" t="s">
        <v>74</v>
      </c>
      <c r="C27" s="27" t="s">
        <v>73</v>
      </c>
      <c r="D27" s="27" t="s">
        <v>10</v>
      </c>
      <c r="E27" s="31">
        <v>500</v>
      </c>
    </row>
    <row r="28" spans="1:5" x14ac:dyDescent="0.2">
      <c r="A28" s="27" t="s">
        <v>76</v>
      </c>
      <c r="B28" s="27" t="s">
        <v>74</v>
      </c>
      <c r="C28" s="27" t="s">
        <v>75</v>
      </c>
      <c r="D28" s="27" t="s">
        <v>76</v>
      </c>
      <c r="E28" s="31">
        <v>5000</v>
      </c>
    </row>
    <row r="29" spans="1:5" x14ac:dyDescent="0.2">
      <c r="A29" s="27" t="s">
        <v>34</v>
      </c>
      <c r="B29" s="27" t="s">
        <v>74</v>
      </c>
      <c r="C29" s="27" t="s">
        <v>77</v>
      </c>
      <c r="D29" s="27" t="s">
        <v>34</v>
      </c>
      <c r="E29" s="31">
        <v>700</v>
      </c>
    </row>
    <row r="30" spans="1:5" x14ac:dyDescent="0.2">
      <c r="A30" s="27" t="s">
        <v>46</v>
      </c>
      <c r="B30" s="27" t="s">
        <v>74</v>
      </c>
      <c r="C30" s="27" t="s">
        <v>80</v>
      </c>
      <c r="D30" s="27" t="s">
        <v>46</v>
      </c>
      <c r="E30" s="31">
        <v>500</v>
      </c>
    </row>
    <row r="31" spans="1:5" x14ac:dyDescent="0.2">
      <c r="A31" s="27" t="s">
        <v>78</v>
      </c>
      <c r="B31" s="27" t="s">
        <v>74</v>
      </c>
      <c r="C31" s="27" t="s">
        <v>81</v>
      </c>
      <c r="D31" s="27" t="s">
        <v>78</v>
      </c>
      <c r="E31" s="31">
        <v>300</v>
      </c>
    </row>
    <row r="32" spans="1:5" x14ac:dyDescent="0.2">
      <c r="A32" s="27" t="s">
        <v>79</v>
      </c>
      <c r="B32" s="27" t="s">
        <v>74</v>
      </c>
      <c r="C32" s="27" t="s">
        <v>82</v>
      </c>
      <c r="D32" s="27" t="s">
        <v>79</v>
      </c>
      <c r="E32" s="31">
        <v>1000</v>
      </c>
    </row>
    <row r="33" spans="1:5" x14ac:dyDescent="0.2">
      <c r="A33" s="27" t="s">
        <v>18</v>
      </c>
      <c r="B33" s="27" t="s">
        <v>122</v>
      </c>
      <c r="C33" s="27" t="s">
        <v>83</v>
      </c>
      <c r="D33" s="27" t="s">
        <v>18</v>
      </c>
      <c r="E33" s="31">
        <v>3000</v>
      </c>
    </row>
    <row r="34" spans="1:5" x14ac:dyDescent="0.2">
      <c r="A34" s="27" t="s">
        <v>19</v>
      </c>
      <c r="B34" s="27" t="s">
        <v>122</v>
      </c>
      <c r="C34" s="27" t="s">
        <v>84</v>
      </c>
      <c r="D34" s="27" t="s">
        <v>19</v>
      </c>
      <c r="E34" s="31">
        <v>1000</v>
      </c>
    </row>
    <row r="35" spans="1:5" x14ac:dyDescent="0.2">
      <c r="A35" s="27" t="s">
        <v>20</v>
      </c>
      <c r="B35" s="27" t="s">
        <v>122</v>
      </c>
      <c r="C35" s="27" t="s">
        <v>85</v>
      </c>
      <c r="D35" s="27" t="s">
        <v>20</v>
      </c>
      <c r="E35" s="31">
        <v>1000</v>
      </c>
    </row>
    <row r="36" spans="1:5" x14ac:dyDescent="0.2">
      <c r="A36" s="27" t="s">
        <v>90</v>
      </c>
      <c r="B36" s="27" t="s">
        <v>123</v>
      </c>
      <c r="C36" s="27" t="s">
        <v>87</v>
      </c>
      <c r="D36" s="27" t="s">
        <v>90</v>
      </c>
      <c r="E36" s="31">
        <v>30000</v>
      </c>
    </row>
    <row r="37" spans="1:5" x14ac:dyDescent="0.2">
      <c r="A37" s="27" t="s">
        <v>91</v>
      </c>
      <c r="B37" s="27" t="s">
        <v>124</v>
      </c>
      <c r="C37" s="27" t="s">
        <v>88</v>
      </c>
      <c r="D37" s="27" t="s">
        <v>91</v>
      </c>
      <c r="E37" s="31">
        <v>700</v>
      </c>
    </row>
    <row r="38" spans="1:5" x14ac:dyDescent="0.2">
      <c r="A38" s="27" t="s">
        <v>92</v>
      </c>
      <c r="B38" s="27" t="s">
        <v>122</v>
      </c>
      <c r="C38" s="27" t="s">
        <v>89</v>
      </c>
      <c r="D38" s="27" t="s">
        <v>92</v>
      </c>
      <c r="E38" s="31">
        <v>500</v>
      </c>
    </row>
    <row r="39" spans="1:5" x14ac:dyDescent="0.2">
      <c r="A39" s="27" t="s">
        <v>97</v>
      </c>
      <c r="B39" s="27" t="s">
        <v>125</v>
      </c>
      <c r="C39" s="27" t="s">
        <v>94</v>
      </c>
      <c r="D39" s="27" t="s">
        <v>97</v>
      </c>
      <c r="E39" s="31">
        <v>15000</v>
      </c>
    </row>
    <row r="40" spans="1:5" x14ac:dyDescent="0.2">
      <c r="A40" s="27" t="s">
        <v>98</v>
      </c>
      <c r="B40" s="27" t="s">
        <v>126</v>
      </c>
      <c r="C40" s="27" t="s">
        <v>95</v>
      </c>
      <c r="D40" s="27" t="s">
        <v>98</v>
      </c>
      <c r="E40" s="31">
        <v>10000</v>
      </c>
    </row>
    <row r="41" spans="1:5" x14ac:dyDescent="0.2">
      <c r="A41" s="27" t="s">
        <v>100</v>
      </c>
      <c r="B41" s="27" t="s">
        <v>126</v>
      </c>
      <c r="C41" s="27" t="s">
        <v>96</v>
      </c>
      <c r="D41" s="27" t="s">
        <v>100</v>
      </c>
      <c r="E41" s="31">
        <v>10000</v>
      </c>
    </row>
    <row r="42" spans="1:5" x14ac:dyDescent="0.2">
      <c r="A42" s="27" t="s">
        <v>105</v>
      </c>
      <c r="B42" s="27" t="s">
        <v>128</v>
      </c>
      <c r="C42" s="27" t="s">
        <v>102</v>
      </c>
      <c r="D42" s="27" t="s">
        <v>105</v>
      </c>
      <c r="E42" s="31">
        <v>5000</v>
      </c>
    </row>
    <row r="43" spans="1:5" x14ac:dyDescent="0.2">
      <c r="A43" s="27" t="s">
        <v>106</v>
      </c>
      <c r="B43" s="27" t="s">
        <v>128</v>
      </c>
      <c r="C43" s="27" t="s">
        <v>103</v>
      </c>
      <c r="D43" s="27" t="s">
        <v>106</v>
      </c>
      <c r="E43" s="31">
        <v>4000</v>
      </c>
    </row>
    <row r="44" spans="1:5" x14ac:dyDescent="0.2">
      <c r="A44" s="27" t="s">
        <v>107</v>
      </c>
      <c r="B44" s="27" t="s">
        <v>128</v>
      </c>
      <c r="C44" s="27" t="s">
        <v>104</v>
      </c>
      <c r="D44" s="27" t="s">
        <v>107</v>
      </c>
      <c r="E44" s="31">
        <v>1000</v>
      </c>
    </row>
    <row r="45" spans="1:5" x14ac:dyDescent="0.2">
      <c r="A45" s="27" t="s">
        <v>112</v>
      </c>
      <c r="B45" s="27" t="s">
        <v>128</v>
      </c>
      <c r="C45" s="27" t="s">
        <v>109</v>
      </c>
      <c r="D45" s="27" t="s">
        <v>112</v>
      </c>
      <c r="E45" s="31">
        <v>10000</v>
      </c>
    </row>
    <row r="46" spans="1:5" x14ac:dyDescent="0.2">
      <c r="A46" s="27" t="s">
        <v>113</v>
      </c>
      <c r="B46" s="27" t="s">
        <v>128</v>
      </c>
      <c r="C46" s="27" t="s">
        <v>110</v>
      </c>
      <c r="D46" s="27" t="s">
        <v>113</v>
      </c>
      <c r="E46" s="31">
        <v>20000</v>
      </c>
    </row>
    <row r="47" spans="1:5" x14ac:dyDescent="0.2">
      <c r="A47" s="27" t="s">
        <v>114</v>
      </c>
      <c r="B47" s="27" t="s">
        <v>128</v>
      </c>
      <c r="C47" s="27" t="s">
        <v>111</v>
      </c>
      <c r="D47" s="27" t="s">
        <v>114</v>
      </c>
      <c r="E47" s="31">
        <v>10000</v>
      </c>
    </row>
    <row r="48" spans="1:5" x14ac:dyDescent="0.2">
      <c r="A48" s="27" t="s">
        <v>135</v>
      </c>
      <c r="B48" s="27" t="s">
        <v>135</v>
      </c>
      <c r="C48" s="27" t="s">
        <v>115</v>
      </c>
      <c r="D48" s="27">
        <v>10</v>
      </c>
      <c r="E48" s="31"/>
    </row>
    <row r="49" spans="1:5" x14ac:dyDescent="0.2">
      <c r="A49" s="33"/>
      <c r="B49" s="33"/>
      <c r="C49" s="27" t="s">
        <v>55</v>
      </c>
      <c r="D49" s="27">
        <v>1</v>
      </c>
      <c r="E49" s="31"/>
    </row>
    <row r="50" spans="1:5" x14ac:dyDescent="0.2">
      <c r="A50" s="33"/>
      <c r="B50" s="33"/>
      <c r="C50" s="27" t="s">
        <v>62</v>
      </c>
      <c r="D50" s="27">
        <v>5</v>
      </c>
      <c r="E50" s="31"/>
    </row>
    <row r="51" spans="1:5" x14ac:dyDescent="0.2">
      <c r="A51" s="33"/>
      <c r="B51" s="33"/>
      <c r="C51" s="27" t="s">
        <v>93</v>
      </c>
      <c r="D51" s="27">
        <v>7</v>
      </c>
      <c r="E51" s="31"/>
    </row>
    <row r="52" spans="1:5" x14ac:dyDescent="0.2">
      <c r="A52" s="33"/>
      <c r="B52" s="33"/>
      <c r="C52" s="27" t="s">
        <v>108</v>
      </c>
      <c r="D52" s="27">
        <v>9</v>
      </c>
      <c r="E52" s="31"/>
    </row>
    <row r="53" spans="1:5" x14ac:dyDescent="0.2">
      <c r="A53" s="33"/>
      <c r="B53" s="33"/>
      <c r="C53" s="27" t="s">
        <v>101</v>
      </c>
      <c r="D53" s="27">
        <v>8</v>
      </c>
      <c r="E53" s="31"/>
    </row>
    <row r="54" spans="1:5" x14ac:dyDescent="0.2">
      <c r="A54" s="33"/>
      <c r="B54" s="33"/>
      <c r="C54" s="27" t="s">
        <v>86</v>
      </c>
      <c r="D54" s="27">
        <v>6</v>
      </c>
      <c r="E54" s="31"/>
    </row>
    <row r="55" spans="1:5" x14ac:dyDescent="0.2">
      <c r="A55" s="30" t="s">
        <v>136</v>
      </c>
      <c r="B55" s="34"/>
      <c r="C55" s="34"/>
      <c r="D55" s="34"/>
      <c r="E55" s="32">
        <v>150000</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2.75" x14ac:dyDescent="0.2"/>
  <cols>
    <col min="1" max="1" width="3.42578125" customWidth="1"/>
    <col min="2" max="2" width="13" style="1" customWidth="1"/>
    <col min="3" max="3" width="78.42578125" style="3" customWidth="1"/>
    <col min="4" max="4" width="7.85546875" style="1" bestFit="1" customWidth="1"/>
    <col min="5" max="5" width="9.7109375" style="1" bestFit="1" customWidth="1"/>
    <col min="6" max="6" width="8.28515625" style="1" bestFit="1" customWidth="1"/>
    <col min="7" max="7" width="10.5703125" style="1" bestFit="1" customWidth="1"/>
    <col min="8" max="8" width="10.140625" style="1" bestFit="1" customWidth="1"/>
    <col min="9" max="9" width="7.7109375" style="1" bestFit="1" customWidth="1"/>
    <col min="10" max="11" width="3.7109375" style="1" customWidth="1"/>
    <col min="12" max="27" width="3.7109375" customWidth="1"/>
  </cols>
  <sheetData>
    <row r="2" spans="2:27" ht="16.5" x14ac:dyDescent="0.25">
      <c r="B2" s="4" t="s">
        <v>36</v>
      </c>
    </row>
    <row r="4" spans="2:27" ht="13.5" thickBot="1" x14ac:dyDescent="0.25"/>
    <row r="5" spans="2:27" s="14" customFormat="1" ht="16.5" thickBot="1" x14ac:dyDescent="0.25">
      <c r="B5" s="17" t="s">
        <v>0</v>
      </c>
      <c r="C5" s="18" t="s">
        <v>1</v>
      </c>
      <c r="D5" s="740"/>
      <c r="E5" s="740"/>
      <c r="F5" s="740"/>
      <c r="G5" s="740"/>
      <c r="H5" s="740"/>
      <c r="I5" s="740"/>
      <c r="J5" s="740"/>
      <c r="K5" s="740"/>
      <c r="L5" s="740"/>
      <c r="M5" s="740"/>
      <c r="N5" s="740"/>
      <c r="O5" s="740"/>
      <c r="P5" s="740"/>
      <c r="Q5" s="740"/>
      <c r="R5" s="740"/>
      <c r="S5" s="740"/>
      <c r="T5" s="740"/>
      <c r="U5" s="740"/>
      <c r="V5" s="740"/>
      <c r="W5" s="740"/>
      <c r="X5" s="741"/>
      <c r="Y5" s="19"/>
      <c r="Z5" s="19"/>
      <c r="AA5" s="20"/>
    </row>
    <row r="6" spans="2:27" ht="13.5" thickBot="1" x14ac:dyDescent="0.25">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x14ac:dyDescent="0.2">
      <c r="B7" s="21"/>
      <c r="C7"/>
      <c r="D7" s="742" t="s">
        <v>37</v>
      </c>
      <c r="E7" s="743"/>
      <c r="F7" s="743"/>
      <c r="G7" s="744"/>
      <c r="H7" s="745" t="s">
        <v>38</v>
      </c>
      <c r="I7" s="743"/>
      <c r="J7" s="743"/>
      <c r="K7" s="744"/>
      <c r="L7" s="745" t="s">
        <v>39</v>
      </c>
      <c r="M7" s="743"/>
      <c r="N7" s="743"/>
      <c r="O7" s="744"/>
      <c r="P7" s="745" t="s">
        <v>40</v>
      </c>
      <c r="Q7" s="743"/>
      <c r="R7" s="743"/>
      <c r="S7" s="744"/>
      <c r="T7" s="745" t="s">
        <v>41</v>
      </c>
      <c r="U7" s="743"/>
      <c r="V7" s="743"/>
      <c r="W7" s="744"/>
      <c r="X7" s="745" t="s">
        <v>42</v>
      </c>
      <c r="Y7" s="743"/>
      <c r="Z7" s="743"/>
      <c r="AA7" s="744"/>
    </row>
    <row r="8" spans="2:27" s="10" customFormat="1" ht="15.75" x14ac:dyDescent="0.2">
      <c r="B8" s="11" t="s">
        <v>11</v>
      </c>
      <c r="C8" s="9" t="s">
        <v>12</v>
      </c>
      <c r="D8" s="736">
        <v>30000</v>
      </c>
      <c r="E8" s="737"/>
      <c r="F8" s="737"/>
      <c r="G8" s="738"/>
      <c r="H8" s="736"/>
      <c r="I8" s="737"/>
      <c r="J8" s="737"/>
      <c r="K8" s="738"/>
      <c r="L8" s="736"/>
      <c r="M8" s="737"/>
      <c r="N8" s="737"/>
      <c r="O8" s="738"/>
      <c r="P8" s="736"/>
      <c r="Q8" s="737"/>
      <c r="R8" s="737"/>
      <c r="S8" s="738"/>
      <c r="T8" s="736"/>
      <c r="U8" s="737"/>
      <c r="V8" s="737"/>
      <c r="W8" s="738"/>
      <c r="X8" s="736"/>
      <c r="Y8" s="737"/>
      <c r="Z8" s="737"/>
      <c r="AA8" s="738"/>
    </row>
    <row r="9" spans="2:27" s="10" customFormat="1" ht="15.75" x14ac:dyDescent="0.2">
      <c r="B9" s="11" t="s">
        <v>14</v>
      </c>
      <c r="C9" s="9" t="s">
        <v>21</v>
      </c>
      <c r="D9" s="736"/>
      <c r="E9" s="737"/>
      <c r="F9" s="737"/>
      <c r="G9" s="738"/>
      <c r="H9" s="736">
        <v>5000</v>
      </c>
      <c r="I9" s="737"/>
      <c r="J9" s="737"/>
      <c r="K9" s="738"/>
      <c r="L9" s="736">
        <v>5000</v>
      </c>
      <c r="M9" s="737"/>
      <c r="N9" s="737"/>
      <c r="O9" s="738"/>
      <c r="P9" s="736">
        <v>5000</v>
      </c>
      <c r="Q9" s="737"/>
      <c r="R9" s="737"/>
      <c r="S9" s="738"/>
      <c r="T9" s="736">
        <v>5000</v>
      </c>
      <c r="U9" s="737"/>
      <c r="V9" s="737"/>
      <c r="W9" s="738"/>
      <c r="X9" s="736"/>
      <c r="Y9" s="737"/>
      <c r="Z9" s="737"/>
      <c r="AA9" s="738"/>
    </row>
    <row r="10" spans="2:27" s="10" customFormat="1" ht="16.5" thickBot="1" x14ac:dyDescent="0.25">
      <c r="B10" s="11" t="s">
        <v>15</v>
      </c>
      <c r="C10" s="9" t="s">
        <v>22</v>
      </c>
      <c r="D10" s="736"/>
      <c r="E10" s="737"/>
      <c r="F10" s="737"/>
      <c r="G10" s="738"/>
      <c r="H10" s="736"/>
      <c r="I10" s="737"/>
      <c r="J10" s="737"/>
      <c r="K10" s="738"/>
      <c r="L10" s="736"/>
      <c r="M10" s="737"/>
      <c r="N10" s="737"/>
      <c r="O10" s="738"/>
      <c r="P10" s="736"/>
      <c r="Q10" s="737"/>
      <c r="R10" s="737"/>
      <c r="S10" s="738"/>
      <c r="T10" s="736"/>
      <c r="U10" s="737"/>
      <c r="V10" s="737"/>
      <c r="W10" s="738"/>
      <c r="X10" s="736">
        <v>10000</v>
      </c>
      <c r="Y10" s="737"/>
      <c r="Z10" s="737"/>
      <c r="AA10" s="738"/>
    </row>
    <row r="11" spans="2:27" ht="15.75" x14ac:dyDescent="0.2">
      <c r="B11" s="12">
        <v>2</v>
      </c>
      <c r="C11" s="13" t="s">
        <v>26</v>
      </c>
      <c r="D11" s="736"/>
      <c r="E11" s="737"/>
      <c r="F11" s="737"/>
      <c r="G11" s="738"/>
      <c r="H11" s="736"/>
      <c r="I11" s="737"/>
      <c r="J11" s="737"/>
      <c r="K11" s="738"/>
      <c r="L11" s="736">
        <v>20000</v>
      </c>
      <c r="M11" s="737"/>
      <c r="N11" s="737"/>
      <c r="O11" s="738"/>
      <c r="P11" s="736">
        <v>40000</v>
      </c>
      <c r="Q11" s="737"/>
      <c r="R11" s="737"/>
      <c r="S11" s="738"/>
      <c r="T11" s="736">
        <v>10000</v>
      </c>
      <c r="U11" s="737"/>
      <c r="V11" s="737"/>
      <c r="W11" s="738"/>
      <c r="X11" s="736">
        <v>10000</v>
      </c>
      <c r="Y11" s="737"/>
      <c r="Z11" s="737"/>
      <c r="AA11" s="738"/>
    </row>
    <row r="12" spans="2:27" ht="15.75" x14ac:dyDescent="0.2">
      <c r="B12" s="6" t="s">
        <v>16</v>
      </c>
      <c r="C12" s="5" t="s">
        <v>32</v>
      </c>
      <c r="D12" s="736"/>
      <c r="E12" s="737"/>
      <c r="F12" s="737"/>
      <c r="G12" s="738"/>
      <c r="H12" s="739">
        <v>10000</v>
      </c>
      <c r="I12" s="737"/>
      <c r="J12" s="737"/>
      <c r="K12" s="738"/>
      <c r="L12" s="736">
        <v>25000</v>
      </c>
      <c r="M12" s="737"/>
      <c r="N12" s="737"/>
      <c r="O12" s="738"/>
      <c r="P12" s="736">
        <v>25000</v>
      </c>
      <c r="Q12" s="737"/>
      <c r="R12" s="737"/>
      <c r="S12" s="738"/>
      <c r="T12" s="736">
        <v>25000</v>
      </c>
      <c r="U12" s="737"/>
      <c r="V12" s="737"/>
      <c r="W12" s="738"/>
      <c r="X12" s="736">
        <v>5000</v>
      </c>
      <c r="Y12" s="737"/>
      <c r="Z12" s="737"/>
      <c r="AA12" s="738"/>
    </row>
    <row r="13" spans="2:27" s="8" customFormat="1" ht="16.5" thickBot="1" x14ac:dyDescent="0.25">
      <c r="B13" s="6" t="s">
        <v>17</v>
      </c>
      <c r="C13" s="5" t="s">
        <v>33</v>
      </c>
      <c r="D13" s="736"/>
      <c r="E13" s="737"/>
      <c r="F13" s="737"/>
      <c r="G13" s="738"/>
      <c r="H13" s="736"/>
      <c r="I13" s="737"/>
      <c r="J13" s="737"/>
      <c r="K13" s="738"/>
      <c r="L13" s="736">
        <v>15000</v>
      </c>
      <c r="M13" s="737"/>
      <c r="N13" s="737"/>
      <c r="O13" s="738"/>
      <c r="P13" s="736">
        <v>15000</v>
      </c>
      <c r="Q13" s="737"/>
      <c r="R13" s="737"/>
      <c r="S13" s="738"/>
      <c r="T13" s="736">
        <v>20000</v>
      </c>
      <c r="U13" s="737"/>
      <c r="V13" s="737"/>
      <c r="W13" s="738"/>
      <c r="X13" s="736">
        <v>10000</v>
      </c>
      <c r="Y13" s="737"/>
      <c r="Z13" s="737"/>
      <c r="AA13" s="738"/>
    </row>
    <row r="14" spans="2:27" s="7" customFormat="1" ht="15.75" x14ac:dyDescent="0.2">
      <c r="B14" s="12">
        <v>4</v>
      </c>
      <c r="C14" s="13" t="s">
        <v>27</v>
      </c>
      <c r="D14" s="736"/>
      <c r="E14" s="737"/>
      <c r="F14" s="737"/>
      <c r="G14" s="738"/>
      <c r="H14" s="736"/>
      <c r="I14" s="737"/>
      <c r="J14" s="737"/>
      <c r="K14" s="738"/>
      <c r="L14" s="736"/>
      <c r="M14" s="737"/>
      <c r="N14" s="737"/>
      <c r="O14" s="738"/>
      <c r="P14" s="736"/>
      <c r="Q14" s="737"/>
      <c r="R14" s="737"/>
      <c r="S14" s="738"/>
      <c r="T14" s="736"/>
      <c r="U14" s="737"/>
      <c r="V14" s="737"/>
      <c r="W14" s="738"/>
      <c r="X14" s="736">
        <v>7000</v>
      </c>
      <c r="Y14" s="737"/>
      <c r="Z14" s="737"/>
      <c r="AA14" s="738"/>
    </row>
    <row r="15" spans="2:27" s="7" customFormat="1" ht="15.75" x14ac:dyDescent="0.2">
      <c r="B15" s="6" t="s">
        <v>18</v>
      </c>
      <c r="C15" s="5" t="s">
        <v>23</v>
      </c>
      <c r="D15" s="736"/>
      <c r="E15" s="737"/>
      <c r="F15" s="737"/>
      <c r="G15" s="738"/>
      <c r="H15" s="736"/>
      <c r="I15" s="737"/>
      <c r="J15" s="737"/>
      <c r="K15" s="738"/>
      <c r="L15" s="736"/>
      <c r="M15" s="737"/>
      <c r="N15" s="737"/>
      <c r="O15" s="738"/>
      <c r="P15" s="736"/>
      <c r="Q15" s="737"/>
      <c r="R15" s="737"/>
      <c r="S15" s="738"/>
      <c r="T15" s="736">
        <v>4000</v>
      </c>
      <c r="U15" s="737"/>
      <c r="V15" s="737"/>
      <c r="W15" s="738"/>
      <c r="X15" s="736">
        <v>4000</v>
      </c>
      <c r="Y15" s="737"/>
      <c r="Z15" s="737"/>
      <c r="AA15" s="738"/>
    </row>
    <row r="16" spans="2:27" ht="15.75" x14ac:dyDescent="0.2">
      <c r="B16" s="6" t="s">
        <v>19</v>
      </c>
      <c r="C16" s="5" t="s">
        <v>24</v>
      </c>
      <c r="D16" s="736"/>
      <c r="E16" s="737"/>
      <c r="F16" s="737"/>
      <c r="G16" s="738"/>
      <c r="H16" s="736"/>
      <c r="I16" s="737"/>
      <c r="J16" s="737"/>
      <c r="K16" s="738"/>
      <c r="L16" s="736"/>
      <c r="M16" s="737"/>
      <c r="N16" s="737"/>
      <c r="O16" s="738"/>
      <c r="P16" s="736"/>
      <c r="Q16" s="737"/>
      <c r="R16" s="737"/>
      <c r="S16" s="738"/>
      <c r="T16" s="736">
        <v>2500</v>
      </c>
      <c r="U16" s="737"/>
      <c r="V16" s="737"/>
      <c r="W16" s="738"/>
      <c r="X16" s="736">
        <v>2500</v>
      </c>
      <c r="Y16" s="737"/>
      <c r="Z16" s="737"/>
      <c r="AA16" s="738"/>
    </row>
    <row r="17" spans="2:27" s="8" customFormat="1" ht="15.75" x14ac:dyDescent="0.2">
      <c r="B17" s="6" t="s">
        <v>20</v>
      </c>
      <c r="C17" s="5" t="s">
        <v>25</v>
      </c>
      <c r="D17" s="736"/>
      <c r="E17" s="737"/>
      <c r="F17" s="737"/>
      <c r="G17" s="738"/>
      <c r="H17" s="736"/>
      <c r="I17" s="737"/>
      <c r="J17" s="737"/>
      <c r="K17" s="738"/>
      <c r="L17" s="736"/>
      <c r="M17" s="737"/>
      <c r="N17" s="737"/>
      <c r="O17" s="738"/>
      <c r="P17" s="736"/>
      <c r="Q17" s="737"/>
      <c r="R17" s="737"/>
      <c r="S17" s="738"/>
      <c r="T17" s="736"/>
      <c r="U17" s="737"/>
      <c r="V17" s="737"/>
      <c r="W17" s="738"/>
      <c r="X17" s="736">
        <v>0</v>
      </c>
      <c r="Y17" s="737"/>
      <c r="Z17" s="737"/>
      <c r="AA17" s="738"/>
    </row>
    <row r="18" spans="2:27" s="7" customFormat="1" ht="15.75" x14ac:dyDescent="0.2">
      <c r="B18" s="6" t="s">
        <v>29</v>
      </c>
      <c r="C18" s="5" t="s">
        <v>30</v>
      </c>
      <c r="D18" s="736"/>
      <c r="E18" s="737"/>
      <c r="F18" s="737"/>
      <c r="G18" s="738"/>
      <c r="H18" s="736">
        <f>20000*35%</f>
        <v>7000</v>
      </c>
      <c r="I18" s="737"/>
      <c r="J18" s="737"/>
      <c r="K18" s="738"/>
      <c r="L18" s="736">
        <f>13000/4</f>
        <v>3250</v>
      </c>
      <c r="M18" s="737"/>
      <c r="N18" s="737"/>
      <c r="O18" s="738"/>
      <c r="P18" s="736">
        <f>13000/4</f>
        <v>3250</v>
      </c>
      <c r="Q18" s="737"/>
      <c r="R18" s="737"/>
      <c r="S18" s="738"/>
      <c r="T18" s="736">
        <f>13000/4</f>
        <v>3250</v>
      </c>
      <c r="U18" s="737"/>
      <c r="V18" s="737"/>
      <c r="W18" s="738"/>
      <c r="X18" s="736">
        <f>13000/4</f>
        <v>3250</v>
      </c>
      <c r="Y18" s="737"/>
      <c r="Z18" s="737"/>
      <c r="AA18" s="738"/>
    </row>
  </sheetData>
  <mergeCells count="73">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 ref="L10:O10"/>
    <mergeCell ref="L9:O9"/>
    <mergeCell ref="T8:W8"/>
    <mergeCell ref="X8:AA8"/>
    <mergeCell ref="L8:O8"/>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D13:G13"/>
    <mergeCell ref="H13:K13"/>
    <mergeCell ref="L13:O13"/>
    <mergeCell ref="P13:S13"/>
    <mergeCell ref="X14:AA14"/>
    <mergeCell ref="T13:W13"/>
    <mergeCell ref="X13:AA13"/>
    <mergeCell ref="X15:AA15"/>
    <mergeCell ref="D14:G14"/>
    <mergeCell ref="H14:K14"/>
    <mergeCell ref="L14:O14"/>
    <mergeCell ref="P14:S14"/>
    <mergeCell ref="T14:W14"/>
    <mergeCell ref="D15:G15"/>
    <mergeCell ref="H15:K15"/>
    <mergeCell ref="L15:O15"/>
    <mergeCell ref="P15:S15"/>
    <mergeCell ref="T15:W15"/>
    <mergeCell ref="X16:AA16"/>
    <mergeCell ref="D17:G17"/>
    <mergeCell ref="H17:K17"/>
    <mergeCell ref="L17:O17"/>
    <mergeCell ref="P17:S17"/>
    <mergeCell ref="T17:W17"/>
    <mergeCell ref="X17:AA17"/>
    <mergeCell ref="D16:G16"/>
    <mergeCell ref="H16:K16"/>
    <mergeCell ref="L16:O16"/>
    <mergeCell ref="P16:S16"/>
    <mergeCell ref="T16:W16"/>
    <mergeCell ref="T18:W18"/>
    <mergeCell ref="X18:AA18"/>
    <mergeCell ref="D18:G18"/>
    <mergeCell ref="H18:K18"/>
    <mergeCell ref="L18:O18"/>
    <mergeCell ref="P18:S18"/>
  </mergeCells>
  <phoneticPr fontId="14"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24</vt:i4>
      </vt:variant>
      <vt:variant>
        <vt:lpstr>Intervalos Nomeados</vt:lpstr>
      </vt:variant>
      <vt:variant>
        <vt:i4>8</vt:i4>
      </vt:variant>
    </vt:vector>
  </HeadingPairs>
  <TitlesOfParts>
    <vt:vector size="32" baseType="lpstr">
      <vt:lpstr>Project Charter</vt:lpstr>
      <vt:lpstr>WBS-MACRO-ATIVIDADE</vt:lpstr>
      <vt:lpstr>WBS_Detalhado (ordem etapas)</vt:lpstr>
      <vt:lpstr>WBS_Detalhado (ordem depend)</vt:lpstr>
      <vt:lpstr>Análise do Stakeholder</vt:lpstr>
      <vt:lpstr>REDE PERT</vt:lpstr>
      <vt:lpstr>Gestão de Custo</vt:lpstr>
      <vt:lpstr>Orcado</vt:lpstr>
      <vt:lpstr>Realizado</vt:lpstr>
      <vt:lpstr>Gráfico -Status</vt:lpstr>
      <vt:lpstr>Param</vt:lpstr>
      <vt:lpstr>Capa</vt:lpstr>
      <vt:lpstr>Identificar</vt:lpstr>
      <vt:lpstr>Qualificar</vt:lpstr>
      <vt:lpstr>Quantificar</vt:lpstr>
      <vt:lpstr>Sensibilidade ao Risco</vt:lpstr>
      <vt:lpstr>Plano de Comunicação</vt:lpstr>
      <vt:lpstr>Planejamento de RH</vt:lpstr>
      <vt:lpstr>Organograma da Equipe</vt:lpstr>
      <vt:lpstr>Mapa Competência - Equipe</vt:lpstr>
      <vt:lpstr>Mapa de Responsabilidade</vt:lpstr>
      <vt:lpstr>Gráfico de Gantt</vt:lpstr>
      <vt:lpstr>PV_dependência</vt:lpstr>
      <vt:lpstr>Cronograma_de_Custos (2)</vt:lpstr>
      <vt:lpstr>'Cronograma_de_Custos (2)'!Area_de_impressao</vt:lpstr>
      <vt:lpstr>Identificar!Area_de_impressao</vt:lpstr>
      <vt:lpstr>'Mapa Competência - Equipe'!Area_de_impressao</vt:lpstr>
      <vt:lpstr>'Mapa de Responsabilidade'!Area_de_impressao</vt:lpstr>
      <vt:lpstr>Qualificar!Area_de_impressao</vt:lpstr>
      <vt:lpstr>Quantificar!Area_de_impressao</vt:lpstr>
      <vt:lpstr>Início_do_projeto</vt:lpstr>
      <vt:lpstr>Semana_de_exibição</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Kaique Neres de Oliveira</cp:lastModifiedBy>
  <cp:lastPrinted>2024-08-29T21:33:37Z</cp:lastPrinted>
  <dcterms:created xsi:type="dcterms:W3CDTF">2009-09-10T00:53:44Z</dcterms:created>
  <dcterms:modified xsi:type="dcterms:W3CDTF">2025-11-11T00:57:07Z</dcterms:modified>
</cp:coreProperties>
</file>